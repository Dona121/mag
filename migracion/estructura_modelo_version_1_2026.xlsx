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Donal\Documents\MEGA\Estudio\Django\modelo_alta_gerencia\migracion\"/>
    </mc:Choice>
  </mc:AlternateContent>
  <xr:revisionPtr revIDLastSave="0" documentId="11_AB86BBC237F267F3FD5B0D92A8A1C9E89178F3CC" xr6:coauthVersionLast="47" xr6:coauthVersionMax="47" xr10:uidLastSave="{00000000-0000-0000-0000-000000000000}"/>
  <bookViews>
    <workbookView xWindow="-108" yWindow="-108" windowWidth="23256" windowHeight="12456" firstSheet="8" activeTab="14" xr2:uid="{00000000-000D-0000-FFFF-FFFF00000000}"/>
  </bookViews>
  <sheets>
    <sheet name="categorias" sheetId="1" r:id="rId1"/>
    <sheet name="Salud" sheetId="2" r:id="rId2"/>
    <sheet name="Interior" sheetId="3" r:id="rId3"/>
    <sheet name="Inclusión Social" sheetId="4" r:id="rId4"/>
    <sheet name="Educación" sheetId="5" r:id="rId5"/>
    <sheet name="Desarrollo Económico" sheetId="6" r:id="rId6"/>
    <sheet name="Aguas de Sucre" sheetId="7" r:id="rId7"/>
    <sheet name="Bellas Artes" sheetId="8" r:id="rId8"/>
    <sheet name="Energía" sheetId="9" r:id="rId9"/>
    <sheet name="Fondo Mixto" sheetId="10" r:id="rId10"/>
    <sheet name="Indersucre" sheetId="11" r:id="rId11"/>
    <sheet name="Infraestructura" sheetId="12" r:id="rId12"/>
    <sheet name="Oficina TIC" sheetId="13" r:id="rId13"/>
    <sheet name="Unidad del Riesgo" sheetId="14" r:id="rId14"/>
    <sheet name="Tránsito" sheetId="15" r:id="rId15"/>
  </sheets>
  <definedNames>
    <definedName name="filtro_seleccion" localSheetId="0">_xlfn.LAMBDA(_xlpm.rango_datos,_xlpm.rango_criterio,_xlpm.criterio_filtro, _xlfn.LET(_xlpm.valores_sustituidos,_xlfn._xlws.FILTER(_xlpm.rango_datos, _xlpm.rango_criterio = _xlpm.criterio_filtro), _xlpm.valor_numerico_o_error,IFERROR(VALUE(_xlpm.valores_sustituidos),_xlpm.valores_sustituidos),_xlpm.es_numero_final,ISNUMBER(_xlpm.valor_numerico_o_error),IF(_xlpm.es_numero_final,ROUNDUP(_xlpm.valor_numerico_o_error, 0),_xlpm.valores_sustituidos)))</definedName>
    <definedName name="filtro_seleccion">_xlfn.LAMBDA(_xlpm.rango_datos,_xlpm.rango_criterio,_xlpm.criterio_filtro, _xlfn.LET(_xlpm.valores_sustituidos,_xlfn._xlws.FILTER(_xlpm.rango_datos, _xlpm.rango_criterio = _xlpm.criterio_filtro), _xlpm.valor_numerico_o_error,IFERROR(VALUE(_xlpm.valores_sustituidos),_xlpm.valores_sustituidos),_xlpm.es_numero_final,ISNUMBER(_xlpm.valor_numerico_o_error),IF(_xlpm.es_numero_final,ROUNDUP(_xlpm.valor_numerico_o_error, 0),_xlpm.valores_sustituidos)))</definedName>
    <definedName name="Seleccion_modalidad_contratacion" localSheetId="0">_xlfn.LAMBDA(_xlpm.rango_datos,_xlpm.rango_criterio,_xlpm.criterio_filtro, _xlfn.LET(_xlpm.valores_sustituidos,_xlfn._xlws.FILTER(_xlpm.rango_datos, _xlpm.rango_criterio = _xlpm.criterio_filtro), _xlpm.valor_numerico_o_error,IFERROR(VALUE(_xlpm.valores_sustituidos),_xlpm.valores_sustituidos),_xlpm.es_numero_final,ISNUMBER(_xlpm.valor_numerico_o_error),IF(_xlpm.es_numero_final,ROUNDUP(_xlpm.valor_numerico_o_error, 0),_xlpm.valores_sustituidos)))</definedName>
    <definedName name="Seleccion_modalidad_contratacion">_xlfn.LAMBDA(_xlpm.rango_datos,_xlpm.rango_criterio,_xlpm.criterio_filtro, _xlfn.LET(_xlpm.valores_sustituidos,_xlfn._xlws.FILTER(_xlpm.rango_datos, _xlpm.rango_criterio = _xlpm.criterio_filtro), _xlpm.valor_numerico_o_error,IFERROR(VALUE(_xlpm.valores_sustituidos),_xlpm.valores_sustituidos),_xlpm.es_numero_final,ISNUMBER(_xlpm.valor_numerico_o_error),IF(_xlpm.es_numero_final,ROUNDUP(_xlpm.valor_numerico_o_error, 0),_xlpm.valores_sustituidos)))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14" l="1"/>
  <c r="F11" i="14"/>
  <c r="O11" i="14" s="1"/>
  <c r="D11" i="14"/>
  <c r="F10" i="14"/>
  <c r="O10" i="14" s="1"/>
  <c r="F9" i="14"/>
  <c r="O9" i="14" s="1"/>
  <c r="D9" i="14"/>
  <c r="O8" i="14"/>
  <c r="N8" i="14"/>
  <c r="L8" i="14"/>
  <c r="J8" i="14"/>
  <c r="F8" i="14"/>
  <c r="F7" i="14"/>
  <c r="N7" i="14" s="1"/>
  <c r="O6" i="14"/>
  <c r="F6" i="14"/>
  <c r="D2" i="14"/>
  <c r="F5" i="14" s="1"/>
  <c r="O17" i="13"/>
  <c r="F15" i="13"/>
  <c r="O15" i="13" s="1"/>
  <c r="D15" i="13"/>
  <c r="F14" i="13"/>
  <c r="O14" i="13" s="1"/>
  <c r="I13" i="13"/>
  <c r="D13" i="13"/>
  <c r="F13" i="13" s="1"/>
  <c r="N12" i="13"/>
  <c r="L12" i="13"/>
  <c r="O12" i="13" s="1"/>
  <c r="J12" i="13"/>
  <c r="O11" i="13"/>
  <c r="N11" i="13"/>
  <c r="L11" i="13"/>
  <c r="J11" i="13"/>
  <c r="O10" i="13"/>
  <c r="N10" i="13"/>
  <c r="L10" i="13"/>
  <c r="N9" i="13"/>
  <c r="L9" i="13"/>
  <c r="J9" i="13"/>
  <c r="O9" i="13" s="1"/>
  <c r="F9" i="13"/>
  <c r="F6" i="13"/>
  <c r="N6" i="13" s="1"/>
  <c r="F5" i="13"/>
  <c r="N5" i="13" s="1"/>
  <c r="N2" i="13"/>
  <c r="F2" i="13"/>
  <c r="L2" i="13" s="1"/>
  <c r="O2" i="13" s="1"/>
  <c r="O24" i="12"/>
  <c r="F22" i="12"/>
  <c r="O22" i="12" s="1"/>
  <c r="D22" i="12"/>
  <c r="I21" i="12"/>
  <c r="I20" i="12"/>
  <c r="D20" i="12"/>
  <c r="F21" i="12" s="1"/>
  <c r="O19" i="12"/>
  <c r="N19" i="12"/>
  <c r="L19" i="12"/>
  <c r="J19" i="12"/>
  <c r="O18" i="12"/>
  <c r="N18" i="12"/>
  <c r="L18" i="12"/>
  <c r="J18" i="12"/>
  <c r="N17" i="12"/>
  <c r="L17" i="12"/>
  <c r="J17" i="12"/>
  <c r="O17" i="12" s="1"/>
  <c r="O16" i="12"/>
  <c r="N15" i="12"/>
  <c r="L15" i="12"/>
  <c r="J15" i="12"/>
  <c r="O15" i="12" s="1"/>
  <c r="N14" i="12"/>
  <c r="L14" i="12"/>
  <c r="J14" i="12"/>
  <c r="O14" i="12" s="1"/>
  <c r="L13" i="12"/>
  <c r="J13" i="12"/>
  <c r="O13" i="12" s="1"/>
  <c r="F13" i="12"/>
  <c r="N13" i="12" s="1"/>
  <c r="N10" i="12"/>
  <c r="L10" i="12"/>
  <c r="O10" i="12" s="1"/>
  <c r="J10" i="12"/>
  <c r="F10" i="12"/>
  <c r="D10" i="12"/>
  <c r="F9" i="12"/>
  <c r="N9" i="12" s="1"/>
  <c r="N6" i="12"/>
  <c r="L6" i="12"/>
  <c r="J6" i="12"/>
  <c r="O6" i="12" s="1"/>
  <c r="F6" i="12"/>
  <c r="D6" i="12"/>
  <c r="N5" i="12"/>
  <c r="L5" i="12"/>
  <c r="O5" i="12" s="1"/>
  <c r="F5" i="12"/>
  <c r="N2" i="12"/>
  <c r="F2" i="12"/>
  <c r="L2" i="12" s="1"/>
  <c r="O2" i="12" s="1"/>
  <c r="D2" i="12"/>
  <c r="O24" i="11"/>
  <c r="F24" i="11"/>
  <c r="D24" i="11"/>
  <c r="F22" i="11"/>
  <c r="O22" i="11" s="1"/>
  <c r="D22" i="11"/>
  <c r="I21" i="11"/>
  <c r="O21" i="11" s="1"/>
  <c r="I20" i="11"/>
  <c r="O20" i="11" s="1"/>
  <c r="F20" i="11"/>
  <c r="D20" i="11"/>
  <c r="F21" i="11" s="1"/>
  <c r="N19" i="11"/>
  <c r="L19" i="11"/>
  <c r="J19" i="11"/>
  <c r="O19" i="11" s="1"/>
  <c r="N18" i="11"/>
  <c r="L18" i="11"/>
  <c r="J18" i="11"/>
  <c r="O18" i="11" s="1"/>
  <c r="N17" i="11"/>
  <c r="L17" i="11"/>
  <c r="O17" i="11" s="1"/>
  <c r="J17" i="11"/>
  <c r="O16" i="11"/>
  <c r="N15" i="11"/>
  <c r="L15" i="11"/>
  <c r="O15" i="11" s="1"/>
  <c r="J15" i="11"/>
  <c r="N14" i="11"/>
  <c r="O14" i="11" s="1"/>
  <c r="L14" i="11"/>
  <c r="N13" i="11"/>
  <c r="L13" i="11"/>
  <c r="O13" i="11" s="1"/>
  <c r="J13" i="11"/>
  <c r="F13" i="11"/>
  <c r="L10" i="11"/>
  <c r="F10" i="11"/>
  <c r="N10" i="11" s="1"/>
  <c r="D10" i="11"/>
  <c r="N9" i="11"/>
  <c r="L9" i="11"/>
  <c r="J9" i="11"/>
  <c r="O9" i="11" s="1"/>
  <c r="F9" i="11"/>
  <c r="N6" i="11"/>
  <c r="L6" i="11"/>
  <c r="J6" i="11"/>
  <c r="O6" i="11" s="1"/>
  <c r="F6" i="11"/>
  <c r="D6" i="11"/>
  <c r="F5" i="11"/>
  <c r="N5" i="11" s="1"/>
  <c r="F2" i="11"/>
  <c r="N2" i="11" s="1"/>
  <c r="D2" i="11"/>
  <c r="F24" i="10"/>
  <c r="O24" i="10" s="1"/>
  <c r="D24" i="10"/>
  <c r="F22" i="10"/>
  <c r="O22" i="10" s="1"/>
  <c r="D22" i="10"/>
  <c r="I20" i="10"/>
  <c r="D20" i="10"/>
  <c r="F21" i="10" s="1"/>
  <c r="O21" i="10" s="1"/>
  <c r="N19" i="10"/>
  <c r="L19" i="10"/>
  <c r="J19" i="10"/>
  <c r="O19" i="10" s="1"/>
  <c r="N18" i="10"/>
  <c r="L18" i="10"/>
  <c r="O18" i="10" s="1"/>
  <c r="J18" i="10"/>
  <c r="N17" i="10"/>
  <c r="L17" i="10"/>
  <c r="J17" i="10"/>
  <c r="O17" i="10" s="1"/>
  <c r="O16" i="10"/>
  <c r="N15" i="10"/>
  <c r="O15" i="10" s="1"/>
  <c r="L15" i="10"/>
  <c r="J15" i="10"/>
  <c r="N14" i="10"/>
  <c r="O14" i="10" s="1"/>
  <c r="L14" i="10"/>
  <c r="N13" i="10"/>
  <c r="L13" i="10"/>
  <c r="J13" i="10"/>
  <c r="O13" i="10" s="1"/>
  <c r="F13" i="10"/>
  <c r="N10" i="10"/>
  <c r="F10" i="10"/>
  <c r="L10" i="10" s="1"/>
  <c r="D10" i="10"/>
  <c r="F9" i="10"/>
  <c r="N9" i="10" s="1"/>
  <c r="N6" i="10"/>
  <c r="L6" i="10"/>
  <c r="F6" i="10"/>
  <c r="J6" i="10" s="1"/>
  <c r="O6" i="10" s="1"/>
  <c r="D6" i="10"/>
  <c r="F5" i="10"/>
  <c r="N5" i="10" s="1"/>
  <c r="N2" i="10"/>
  <c r="L2" i="10"/>
  <c r="J2" i="10"/>
  <c r="O2" i="10" s="1"/>
  <c r="F2" i="10"/>
  <c r="D2" i="10"/>
  <c r="O24" i="9"/>
  <c r="O22" i="9"/>
  <c r="F22" i="9"/>
  <c r="D22" i="9"/>
  <c r="I21" i="9"/>
  <c r="I20" i="9"/>
  <c r="O20" i="9" s="1"/>
  <c r="D20" i="9"/>
  <c r="F20" i="9" s="1"/>
  <c r="N19" i="9"/>
  <c r="O19" i="9" s="1"/>
  <c r="L19" i="9"/>
  <c r="J19" i="9"/>
  <c r="N18" i="9"/>
  <c r="L18" i="9"/>
  <c r="O18" i="9" s="1"/>
  <c r="J18" i="9"/>
  <c r="N17" i="9"/>
  <c r="O17" i="9" s="1"/>
  <c r="L17" i="9"/>
  <c r="J17" i="9"/>
  <c r="O16" i="9"/>
  <c r="O15" i="9"/>
  <c r="N15" i="9"/>
  <c r="L15" i="9"/>
  <c r="J15" i="9"/>
  <c r="N14" i="9"/>
  <c r="L14" i="9"/>
  <c r="J14" i="9"/>
  <c r="O14" i="9" s="1"/>
  <c r="F13" i="9"/>
  <c r="N13" i="9" s="1"/>
  <c r="F10" i="9"/>
  <c r="N10" i="9" s="1"/>
  <c r="D10" i="9"/>
  <c r="N9" i="9"/>
  <c r="F9" i="9"/>
  <c r="L9" i="9" s="1"/>
  <c r="F6" i="9"/>
  <c r="N6" i="9" s="1"/>
  <c r="D6" i="9"/>
  <c r="N5" i="9"/>
  <c r="L5" i="9"/>
  <c r="F5" i="9"/>
  <c r="J5" i="9" s="1"/>
  <c r="O5" i="9" s="1"/>
  <c r="N2" i="9"/>
  <c r="O2" i="9" s="1"/>
  <c r="L2" i="9"/>
  <c r="J2" i="9"/>
  <c r="F2" i="9"/>
  <c r="D2" i="9"/>
  <c r="O12" i="8"/>
  <c r="F10" i="8"/>
  <c r="O10" i="8" s="1"/>
  <c r="D10" i="8"/>
  <c r="F9" i="8"/>
  <c r="O9" i="8" s="1"/>
  <c r="O8" i="8"/>
  <c r="I8" i="8"/>
  <c r="F8" i="8"/>
  <c r="D8" i="8"/>
  <c r="F7" i="8"/>
  <c r="N7" i="8" s="1"/>
  <c r="D7" i="8"/>
  <c r="N6" i="8"/>
  <c r="L6" i="8"/>
  <c r="O6" i="8" s="1"/>
  <c r="J6" i="8"/>
  <c r="F6" i="8"/>
  <c r="D6" i="8"/>
  <c r="N5" i="8"/>
  <c r="L5" i="8"/>
  <c r="J5" i="8"/>
  <c r="O5" i="8" s="1"/>
  <c r="O2" i="8"/>
  <c r="N2" i="8"/>
  <c r="L2" i="8"/>
  <c r="J2" i="8"/>
  <c r="O19" i="7"/>
  <c r="O17" i="7"/>
  <c r="F17" i="7"/>
  <c r="D17" i="7"/>
  <c r="I15" i="7"/>
  <c r="D15" i="7"/>
  <c r="F15" i="7" s="1"/>
  <c r="N14" i="7"/>
  <c r="O14" i="7" s="1"/>
  <c r="L14" i="7"/>
  <c r="J14" i="7"/>
  <c r="N13" i="7"/>
  <c r="L13" i="7"/>
  <c r="O13" i="7" s="1"/>
  <c r="J13" i="7"/>
  <c r="N12" i="7"/>
  <c r="F12" i="7"/>
  <c r="L12" i="7" s="1"/>
  <c r="D12" i="7"/>
  <c r="O11" i="7"/>
  <c r="F11" i="7"/>
  <c r="D11" i="7"/>
  <c r="F10" i="7"/>
  <c r="N10" i="7" s="1"/>
  <c r="D10" i="7"/>
  <c r="N9" i="7"/>
  <c r="L9" i="7"/>
  <c r="O9" i="7" s="1"/>
  <c r="J9" i="7"/>
  <c r="F9" i="7"/>
  <c r="L6" i="7"/>
  <c r="F6" i="7"/>
  <c r="N6" i="7" s="1"/>
  <c r="D6" i="7"/>
  <c r="N5" i="7"/>
  <c r="L5" i="7"/>
  <c r="J5" i="7"/>
  <c r="O5" i="7" s="1"/>
  <c r="F5" i="7"/>
  <c r="N2" i="7"/>
  <c r="L2" i="7"/>
  <c r="J2" i="7"/>
  <c r="O2" i="7" s="1"/>
  <c r="F2" i="7"/>
  <c r="D2" i="7"/>
  <c r="O19" i="6"/>
  <c r="F17" i="6"/>
  <c r="O17" i="6" s="1"/>
  <c r="D17" i="6"/>
  <c r="I16" i="6"/>
  <c r="I15" i="6"/>
  <c r="D15" i="6"/>
  <c r="F16" i="6" s="1"/>
  <c r="O16" i="6" s="1"/>
  <c r="N14" i="6"/>
  <c r="L14" i="6"/>
  <c r="J14" i="6"/>
  <c r="O14" i="6" s="1"/>
  <c r="O13" i="6"/>
  <c r="N13" i="6"/>
  <c r="L13" i="6"/>
  <c r="J13" i="6"/>
  <c r="F12" i="6"/>
  <c r="N12" i="6" s="1"/>
  <c r="D12" i="6"/>
  <c r="D11" i="6"/>
  <c r="O11" i="6" s="1"/>
  <c r="F10" i="6"/>
  <c r="N10" i="6" s="1"/>
  <c r="D10" i="6"/>
  <c r="N9" i="6"/>
  <c r="F9" i="6"/>
  <c r="L9" i="6" s="1"/>
  <c r="F6" i="6"/>
  <c r="N6" i="6" s="1"/>
  <c r="D6" i="6"/>
  <c r="N5" i="6"/>
  <c r="L5" i="6"/>
  <c r="F5" i="6"/>
  <c r="J5" i="6" s="1"/>
  <c r="O5" i="6" s="1"/>
  <c r="N2" i="6"/>
  <c r="O2" i="6" s="1"/>
  <c r="L2" i="6"/>
  <c r="J2" i="6"/>
  <c r="F2" i="6"/>
  <c r="D2" i="6"/>
  <c r="O24" i="5"/>
  <c r="F22" i="5"/>
  <c r="O22" i="5" s="1"/>
  <c r="D22" i="5"/>
  <c r="I21" i="5"/>
  <c r="O21" i="5" s="1"/>
  <c r="F21" i="5"/>
  <c r="I20" i="5"/>
  <c r="D20" i="5"/>
  <c r="F20" i="5" s="1"/>
  <c r="O20" i="5" s="1"/>
  <c r="N19" i="5"/>
  <c r="L19" i="5"/>
  <c r="J19" i="5"/>
  <c r="O19" i="5" s="1"/>
  <c r="N18" i="5"/>
  <c r="L18" i="5"/>
  <c r="J18" i="5"/>
  <c r="O18" i="5" s="1"/>
  <c r="N17" i="5"/>
  <c r="L17" i="5"/>
  <c r="J17" i="5"/>
  <c r="O17" i="5" s="1"/>
  <c r="O16" i="5"/>
  <c r="N15" i="5"/>
  <c r="L15" i="5"/>
  <c r="O15" i="5" s="1"/>
  <c r="J15" i="5"/>
  <c r="N14" i="5"/>
  <c r="L14" i="5"/>
  <c r="O14" i="5" s="1"/>
  <c r="J14" i="5"/>
  <c r="L13" i="5"/>
  <c r="J13" i="5"/>
  <c r="O13" i="5" s="1"/>
  <c r="F13" i="5"/>
  <c r="N13" i="5" s="1"/>
  <c r="F10" i="5"/>
  <c r="L10" i="5" s="1"/>
  <c r="D10" i="5"/>
  <c r="F9" i="5"/>
  <c r="N9" i="5" s="1"/>
  <c r="N6" i="5"/>
  <c r="L6" i="5"/>
  <c r="F6" i="5"/>
  <c r="J6" i="5" s="1"/>
  <c r="O6" i="5" s="1"/>
  <c r="D6" i="5"/>
  <c r="F5" i="5"/>
  <c r="N5" i="5" s="1"/>
  <c r="N2" i="5"/>
  <c r="L2" i="5"/>
  <c r="J2" i="5"/>
  <c r="O2" i="5" s="1"/>
  <c r="F2" i="5"/>
  <c r="D2" i="5"/>
  <c r="O18" i="4"/>
  <c r="O16" i="4"/>
  <c r="F16" i="4"/>
  <c r="D16" i="4"/>
  <c r="I15" i="4"/>
  <c r="I14" i="4"/>
  <c r="D14" i="4"/>
  <c r="F14" i="4" s="1"/>
  <c r="N13" i="4"/>
  <c r="O13" i="4" s="1"/>
  <c r="L13" i="4"/>
  <c r="J13" i="4"/>
  <c r="N12" i="4"/>
  <c r="L12" i="4"/>
  <c r="J12" i="4"/>
  <c r="O12" i="4" s="1"/>
  <c r="O11" i="4"/>
  <c r="F11" i="4"/>
  <c r="N10" i="4"/>
  <c r="L10" i="4"/>
  <c r="J10" i="4"/>
  <c r="O10" i="4" s="1"/>
  <c r="F10" i="4"/>
  <c r="L9" i="4"/>
  <c r="J9" i="4"/>
  <c r="F9" i="4"/>
  <c r="N9" i="4" s="1"/>
  <c r="F6" i="4"/>
  <c r="L6" i="4" s="1"/>
  <c r="D6" i="4"/>
  <c r="F5" i="4"/>
  <c r="N5" i="4" s="1"/>
  <c r="N2" i="4"/>
  <c r="L2" i="4"/>
  <c r="F2" i="4"/>
  <c r="J2" i="4" s="1"/>
  <c r="O2" i="4" s="1"/>
  <c r="D2" i="4"/>
  <c r="O19" i="3"/>
  <c r="O17" i="3"/>
  <c r="F17" i="3"/>
  <c r="D17" i="3"/>
  <c r="O16" i="3"/>
  <c r="F16" i="3"/>
  <c r="F15" i="3"/>
  <c r="O15" i="3" s="1"/>
  <c r="D15" i="3"/>
  <c r="N14" i="3"/>
  <c r="L14" i="3"/>
  <c r="O14" i="3" s="1"/>
  <c r="J14" i="3"/>
  <c r="N13" i="3"/>
  <c r="L13" i="3"/>
  <c r="J13" i="3"/>
  <c r="O13" i="3" s="1"/>
  <c r="N12" i="3"/>
  <c r="L12" i="3"/>
  <c r="F12" i="3"/>
  <c r="J12" i="3" s="1"/>
  <c r="O12" i="3" s="1"/>
  <c r="D12" i="3"/>
  <c r="O11" i="3"/>
  <c r="F11" i="3"/>
  <c r="D11" i="3"/>
  <c r="F10" i="3"/>
  <c r="N10" i="3" s="1"/>
  <c r="D10" i="3"/>
  <c r="N9" i="3"/>
  <c r="L9" i="3"/>
  <c r="J9" i="3"/>
  <c r="O9" i="3" s="1"/>
  <c r="F9" i="3"/>
  <c r="L6" i="3"/>
  <c r="J6" i="3"/>
  <c r="O6" i="3" s="1"/>
  <c r="F6" i="3"/>
  <c r="N6" i="3" s="1"/>
  <c r="D6" i="3"/>
  <c r="F5" i="3"/>
  <c r="N5" i="3" s="1"/>
  <c r="F2" i="3"/>
  <c r="N2" i="3" s="1"/>
  <c r="D2" i="3"/>
  <c r="O19" i="2"/>
  <c r="F17" i="2"/>
  <c r="O17" i="2" s="1"/>
  <c r="D17" i="2"/>
  <c r="I16" i="2"/>
  <c r="I15" i="2"/>
  <c r="F15" i="2"/>
  <c r="O15" i="2" s="1"/>
  <c r="D15" i="2"/>
  <c r="F16" i="2" s="1"/>
  <c r="O16" i="2" s="1"/>
  <c r="N14" i="2"/>
  <c r="O14" i="2" s="1"/>
  <c r="L14" i="2"/>
  <c r="J14" i="2"/>
  <c r="N13" i="2"/>
  <c r="O13" i="2" s="1"/>
  <c r="L13" i="2"/>
  <c r="J13" i="2"/>
  <c r="F12" i="2"/>
  <c r="L12" i="2" s="1"/>
  <c r="O11" i="2"/>
  <c r="F11" i="2"/>
  <c r="N10" i="2"/>
  <c r="L10" i="2"/>
  <c r="O10" i="2" s="1"/>
  <c r="J10" i="2"/>
  <c r="F10" i="2"/>
  <c r="F9" i="2"/>
  <c r="N9" i="2" s="1"/>
  <c r="F6" i="2"/>
  <c r="N6" i="2" s="1"/>
  <c r="F5" i="2"/>
  <c r="N5" i="2" s="1"/>
  <c r="N2" i="2"/>
  <c r="L2" i="2"/>
  <c r="F2" i="2"/>
  <c r="J2" i="2" s="1"/>
  <c r="O2" i="2" s="1"/>
  <c r="O12" i="15"/>
  <c r="O10" i="15"/>
  <c r="F10" i="15"/>
  <c r="D10" i="15"/>
  <c r="D8" i="15"/>
  <c r="F9" i="15" s="1"/>
  <c r="O9" i="15" s="1"/>
  <c r="N7" i="15"/>
  <c r="L7" i="15"/>
  <c r="J7" i="15"/>
  <c r="O7" i="15" s="1"/>
  <c r="N6" i="15"/>
  <c r="L6" i="15"/>
  <c r="J6" i="15"/>
  <c r="O6" i="15" s="1"/>
  <c r="N5" i="15"/>
  <c r="L5" i="15"/>
  <c r="J5" i="15"/>
  <c r="O5" i="15" s="1"/>
  <c r="F5" i="15"/>
  <c r="N2" i="15"/>
  <c r="L2" i="15"/>
  <c r="O2" i="15" s="1"/>
  <c r="J2" i="15"/>
  <c r="F2" i="15"/>
  <c r="O21" i="12" l="1"/>
  <c r="O13" i="13"/>
  <c r="O13" i="8"/>
  <c r="O13" i="15"/>
  <c r="O9" i="4"/>
  <c r="O15" i="7"/>
  <c r="L5" i="14"/>
  <c r="J5" i="14"/>
  <c r="N5" i="14"/>
  <c r="O15" i="4"/>
  <c r="O21" i="9"/>
  <c r="O14" i="4"/>
  <c r="J6" i="2"/>
  <c r="N6" i="4"/>
  <c r="J12" i="6"/>
  <c r="J10" i="7"/>
  <c r="O10" i="7" s="1"/>
  <c r="O20" i="7" s="1"/>
  <c r="J7" i="8"/>
  <c r="O7" i="8" s="1"/>
  <c r="J9" i="12"/>
  <c r="J9" i="2"/>
  <c r="J12" i="2"/>
  <c r="O12" i="2" s="1"/>
  <c r="J10" i="3"/>
  <c r="F15" i="4"/>
  <c r="L12" i="6"/>
  <c r="F15" i="6"/>
  <c r="O15" i="6" s="1"/>
  <c r="J6" i="7"/>
  <c r="O6" i="7" s="1"/>
  <c r="L10" i="7"/>
  <c r="F16" i="7"/>
  <c r="O16" i="7" s="1"/>
  <c r="L7" i="8"/>
  <c r="F21" i="9"/>
  <c r="J10" i="11"/>
  <c r="O10" i="11" s="1"/>
  <c r="L9" i="12"/>
  <c r="F20" i="12"/>
  <c r="O20" i="12" s="1"/>
  <c r="J5" i="3"/>
  <c r="L9" i="2"/>
  <c r="L10" i="3"/>
  <c r="J10" i="6"/>
  <c r="O10" i="6" s="1"/>
  <c r="J9" i="10"/>
  <c r="F20" i="10"/>
  <c r="O20" i="10" s="1"/>
  <c r="N10" i="5"/>
  <c r="N12" i="2"/>
  <c r="L5" i="2"/>
  <c r="L2" i="3"/>
  <c r="L5" i="4"/>
  <c r="J5" i="5"/>
  <c r="L9" i="5"/>
  <c r="J6" i="6"/>
  <c r="L10" i="6"/>
  <c r="J6" i="9"/>
  <c r="O6" i="9" s="1"/>
  <c r="O25" i="9" s="1"/>
  <c r="L10" i="9"/>
  <c r="J5" i="10"/>
  <c r="O5" i="10" s="1"/>
  <c r="L9" i="10"/>
  <c r="F8" i="15"/>
  <c r="O8" i="15" s="1"/>
  <c r="J5" i="2"/>
  <c r="O5" i="2" s="1"/>
  <c r="J2" i="3"/>
  <c r="O2" i="3" s="1"/>
  <c r="J5" i="4"/>
  <c r="O5" i="4" s="1"/>
  <c r="O19" i="4" s="1"/>
  <c r="J9" i="5"/>
  <c r="J10" i="9"/>
  <c r="O10" i="9" s="1"/>
  <c r="L5" i="5"/>
  <c r="L6" i="6"/>
  <c r="L6" i="9"/>
  <c r="L5" i="10"/>
  <c r="L2" i="11"/>
  <c r="O2" i="11" s="1"/>
  <c r="L5" i="13"/>
  <c r="O5" i="13" s="1"/>
  <c r="F2" i="14"/>
  <c r="J7" i="14"/>
  <c r="O7" i="14" s="1"/>
  <c r="L7" i="14"/>
  <c r="F11" i="6"/>
  <c r="J13" i="9"/>
  <c r="O13" i="9" s="1"/>
  <c r="L6" i="2"/>
  <c r="L5" i="3"/>
  <c r="J6" i="4"/>
  <c r="O6" i="4" s="1"/>
  <c r="J10" i="5"/>
  <c r="O10" i="5" s="1"/>
  <c r="J9" i="6"/>
  <c r="O9" i="6" s="1"/>
  <c r="J12" i="7"/>
  <c r="O12" i="7" s="1"/>
  <c r="J9" i="9"/>
  <c r="O9" i="9" s="1"/>
  <c r="L13" i="9"/>
  <c r="J10" i="10"/>
  <c r="O10" i="10" s="1"/>
  <c r="L5" i="11"/>
  <c r="O5" i="11" s="1"/>
  <c r="J6" i="13"/>
  <c r="L6" i="13"/>
  <c r="O6" i="6" l="1"/>
  <c r="O5" i="3"/>
  <c r="O6" i="13"/>
  <c r="O18" i="13" s="1"/>
  <c r="O9" i="2"/>
  <c r="O9" i="12"/>
  <c r="O25" i="12" s="1"/>
  <c r="O5" i="14"/>
  <c r="O10" i="3"/>
  <c r="O20" i="3" s="1"/>
  <c r="O9" i="5"/>
  <c r="O5" i="5"/>
  <c r="O25" i="5" s="1"/>
  <c r="N2" i="14"/>
  <c r="L2" i="14"/>
  <c r="J2" i="14"/>
  <c r="O25" i="11"/>
  <c r="O12" i="6"/>
  <c r="O9" i="10"/>
  <c r="O25" i="10" s="1"/>
  <c r="O6" i="2"/>
  <c r="O20" i="2" s="1"/>
  <c r="O2" i="14" l="1"/>
  <c r="O14" i="14" s="1"/>
  <c r="O20" i="6"/>
</calcChain>
</file>

<file path=xl/sharedStrings.xml><?xml version="1.0" encoding="utf-8"?>
<sst xmlns="http://schemas.openxmlformats.org/spreadsheetml/2006/main" count="1380" uniqueCount="194">
  <si>
    <t>pilar_nombre</t>
  </si>
  <si>
    <t>pilar_peso</t>
  </si>
  <si>
    <t>indicador_nombre</t>
  </si>
  <si>
    <t>indicador_peso</t>
  </si>
  <si>
    <t>subindicador_nombre</t>
  </si>
  <si>
    <t>subindicador_peso</t>
  </si>
  <si>
    <t>criterio_nombre</t>
  </si>
  <si>
    <t>criterio_rango</t>
  </si>
  <si>
    <t>evaluacion_resultado_detalle_puntaje_mes_enero</t>
  </si>
  <si>
    <t>evaluacion_resultado_detalle_ponderado_mes_enero</t>
  </si>
  <si>
    <t>evaluacion_resultado_detalle_puntaje_mes_febrero</t>
  </si>
  <si>
    <t>evaluacion_resultado_detalle_ponderado_mes_febrero</t>
  </si>
  <si>
    <t>evaluacion_resultado_detalle_puntaje_mes_marzo</t>
  </si>
  <si>
    <t>evaluacion_resultado_detalle_ponderado_mes_marzo</t>
  </si>
  <si>
    <t>ponderacion_bimestre_enero_febrero_marzo</t>
  </si>
  <si>
    <t>evaluacion_resultado_observacion_bimestre_enero_febrero_marzo</t>
  </si>
  <si>
    <t>tipo_calculo</t>
  </si>
  <si>
    <t>Reporte</t>
  </si>
  <si>
    <t>Portafolio</t>
  </si>
  <si>
    <t>Tiempo</t>
  </si>
  <si>
    <t>Antes de tiempo</t>
  </si>
  <si>
    <t>Se califica con el mayor puntaje  para los periodos evaluados , considerando que la dependencia realizó la actualización del portafolio antes de la fecha requerida para su informe mensual.</t>
  </si>
  <si>
    <t>mensual</t>
  </si>
  <si>
    <t>A tiempo</t>
  </si>
  <si>
    <t>Despues de tiempo = No reportar</t>
  </si>
  <si>
    <t>Información Completa</t>
  </si>
  <si>
    <t>De acuerdo con el porcentaje de proyectos en ejecución de los que se reporte información completa y clara.</t>
  </si>
  <si>
    <t>0 - 100%</t>
  </si>
  <si>
    <t>Se califica con el puntaje de 60 % para  los periodos evaluados, considerando que la dependencia realizó la actualización del portafolio en  la fecha requerida para su informe.Se sugiere actualiazar la tabla comparativa de proyectos hasta la fecha.</t>
  </si>
  <si>
    <t>Ciclos de Gerencia</t>
  </si>
  <si>
    <t>Suspendidos</t>
  </si>
  <si>
    <t>% de proyectos en ejecución suspendidos</t>
  </si>
  <si>
    <t>(1- de proyectos en ejecución suspendidos que sean supervisados por la dependencia/Proyectos en ejecución por la dependencia) *100</t>
  </si>
  <si>
    <t>Se  realizó la medición desde el periodo 2024 a corte de  31 de marzo de 2026 , para estos últimos meses evaluados la dependencia tenía 0 proyectos suspendidos hasta  la fecha.</t>
  </si>
  <si>
    <t>Sin Liquidar</t>
  </si>
  <si>
    <t>% de Proyectos terminados sin liquidar</t>
  </si>
  <si>
    <t>Total proyectos liquidados/Total proyectos aptos para liquidar (Acta Final)</t>
  </si>
  <si>
    <t>Se realizó la medición desde el período 2024 a corte del 31 de marzo de 2026, determinando que la dependencia tiene 3 proyectos liquidado,  0 en proceso de liquidación,  y 0 proyectos con acta final   de acuerdo con lo reportado en Portafolio.</t>
  </si>
  <si>
    <t>Otros Mecanismos de Financiación</t>
  </si>
  <si>
    <t>Convocatorias: Nacionales y Cooperación Internacional</t>
  </si>
  <si>
    <t>Eficacia en la Postulación a Convocatorias</t>
  </si>
  <si>
    <t>(Número de Convocatorias Postuladas / Número de Convocatorias Mapeadas susceptibles a postulación)*100</t>
  </si>
  <si>
    <t>En el periodo evaluado no se presentaron convocatorias susceptibles a postulación para el sector.</t>
  </si>
  <si>
    <t>directo</t>
  </si>
  <si>
    <t>Eficiencia en la Postulación a Convocatorias</t>
  </si>
  <si>
    <t>(Número de Convocatorias Ganadas / Número de Convocatorias Postuladas)*100</t>
  </si>
  <si>
    <t>N/A</t>
  </si>
  <si>
    <t>Cumplimiento de Metas</t>
  </si>
  <si>
    <t>Financiación de metas sin recursos</t>
  </si>
  <si>
    <t>Gestión: Lograr a través de la Gestión de recursos o a Gestión sin recursos apalanca el cumplimiento de las metas desfinanciadas.</t>
  </si>
  <si>
    <t>¿Disminuyó el porcentaje de metas desfinanciadas? / (% de metas desfinanciadas periodo n - % de metas desfinanciadas período n-1)&gt; 0</t>
  </si>
  <si>
    <t>No se evidenció cumplimiento de metas por gestión de acuerdo al seguimiento realizado en el trimestre en evaluación</t>
  </si>
  <si>
    <t>¿No disminuyó el porcentaje de metas desfinanciadas? / (% de metas desfinanciadas periodo n - % de metas desfinanciadas período n-1) &lt;= 0</t>
  </si>
  <si>
    <t>Cumplimiento de las metas</t>
  </si>
  <si>
    <t>Cumplimiento Acumulado: Avance en el tiempo de las metas programadas para la vigencia</t>
  </si>
  <si>
    <t>% de Avance acumulado en el cumplimiento de metas</t>
  </si>
  <si>
    <t>El avance acumulado de cumplimiento de metas del Plan de Desarrollo 2024-2027: Sucre Tierra de Oportunidades, a corte del mes de Marzo de 2026 era de: 20,00%; de acuerdo con el cargue de información generado por la dependencias y el seguimiento realizado a la ejecución del Plan Indicativo.</t>
  </si>
  <si>
    <t>Puntaje</t>
  </si>
  <si>
    <t>Dependencia</t>
  </si>
  <si>
    <t>Categoría</t>
  </si>
  <si>
    <t>Salud</t>
  </si>
  <si>
    <t>Categoría 1</t>
  </si>
  <si>
    <t>Infraestructura</t>
  </si>
  <si>
    <t>Interior</t>
  </si>
  <si>
    <t>Educación</t>
  </si>
  <si>
    <t>Aguas de Sucre</t>
  </si>
  <si>
    <t>Desarrollo Económico</t>
  </si>
  <si>
    <t>Energía</t>
  </si>
  <si>
    <t>Categoría 2</t>
  </si>
  <si>
    <t>Indersucre</t>
  </si>
  <si>
    <t>Fondo Mixto</t>
  </si>
  <si>
    <t>Unidad del Riesgo</t>
  </si>
  <si>
    <t>Categoría 3</t>
  </si>
  <si>
    <t>Bellas Artes</t>
  </si>
  <si>
    <t>Tránsito</t>
  </si>
  <si>
    <t>Oficina TIC</t>
  </si>
  <si>
    <t>Inclusión Social</t>
  </si>
  <si>
    <t>PIIP</t>
  </si>
  <si>
    <t>Durante el periodo de enero se reportaron  5 de 5 proyectos, obteniendo una calificación del 100% Durante el periodo de febrero se reportaron 11 proyectos en Salud. de los cuales,11 proyectos obtuvieron una calificación del 100%, obteniendo una calificación del 100%.. Durante el periodo de marzo se reportaron 11 proyectos, de los cuales 11 proyectos obtuvieron una calificación del 100%, obteniendo una calificación del 100%. Promedio general: 100%</t>
  </si>
  <si>
    <t>Durante el periodo de enero cargo información completa para 5 de 5 proyectos, obteniendo una calificación del 100%. Durante el periodo de febrero se cargo información completa para 11 de 11 proyectos, obteniendo una calificación del 100%. Durante el periodo de febrero se cargo información completa para 11 de 11 proyectos, obteniendo una calificación del 100%.</t>
  </si>
  <si>
    <t>Se califica con el mayor puntaje para los  periodos evaluados, considerando que la dependencia realizó la actualización del portafolio antes de la fecha requerida y por cumplir con los compromisos de actualización de la información resaltados en la jornada de verificación al portafolio de proyectos de la dependencia.</t>
  </si>
  <si>
    <t>Indice de Cumplimiento a la Programación - PIIP</t>
  </si>
  <si>
    <t>Promedio del Índice mensual de acuerdo con la ejecución física cargada</t>
  </si>
  <si>
    <t>Teniendo en cuenta  los criterios evaluados en el Indicador de Reporte, en el que se realiza el cargue completo de los proyectos antes del tiempo establecido, se otorga la calificación general del 100%.</t>
  </si>
  <si>
    <t>Estratégicos</t>
  </si>
  <si>
    <t>Resultados: 70% (Se promedia el valor de cada proyecto de acuerdo a su estado de avance) Gestión (Cumplimiento de Compromisos):30%</t>
  </si>
  <si>
    <t>Al terminar el trimestre ene-mar; la dependencia presentaba:   No de Proyectos Estratégicos con Asignación de Recursos o en Ejecución: 3 No de Proyectos Estratégicos en Gestión: 4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</si>
  <si>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Aliados (Invisibles)</t>
  </si>
  <si>
    <t>Actualización de información - ALIADOS (Invisibles)</t>
  </si>
  <si>
    <t>% de proyectos Invisibles con Información completa en Portafolio</t>
  </si>
  <si>
    <t>Se realizó cargue de la información de los proyectos aliados en Portafolio</t>
  </si>
  <si>
    <t>Se  realizó la medición desde el periodo 2024 a corte de  31 de marzo de 2026,  para los meses de enero y febrero 0  proyectos suspendidos para marzo1 proyecto suspendido hasta  la fecha.</t>
  </si>
  <si>
    <t>Se realizó la medición desde el período 2024 a corte del 31 de marzo de 2026, determinando que la dependencia  cuenta con 27  proyectos liquidados en portafolio  : Enero: 22  en proceso de liquidación,  y 2  proyectos con acta final. Febrero: 38 en proceso de liquidación,  y 0 proyectos con acta final  y para Marzo  39  en proceso de liquidación y 0 con acta final de acuerdo con lo reportado en Portafolio.</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</si>
  <si>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se identificó la convocatoria de OXI en la modalidad de fiducia y convenio, en la que no se presentaron postulaciones y el ID 108: Desafío ODA SEÚL 2026 . Se postuló en la 108.  3. Formula Eficacia ((1/2)*100)=50% 4. Formula Eficiencia ((0/0)*100)=0.00%</t>
  </si>
  <si>
    <t>Se evidenció cumplimiento de metas por gestión de acuerdo al seguimiento realizado en el trimestre en evaluación</t>
  </si>
  <si>
    <t>El avance acumulado de cumplimiento de metas del Plan de Desarrollo 2024-2027: Sucre Tierra de Oportunidades, a corte del mes de Marzo de 2026 era de: 21,43%; de acuerdo con el cargue de información generado por la dependencias y el seguimiento realizado a la ejecución del Plan Indicativ</t>
  </si>
  <si>
    <t>Durante el periodo de enero se cargo información completa para 6 de 6 proyectos, obteniendo una calificación del 100%. Durante el periodo de febrero se reportaron 6 de 6 proyectos, los cuales obtuvieron una calificación del 100%. Durante el periodo de marzo se reportaron 6 proyectos de los cuales 1 proyecto obtuvo una calificación del 100%, 5 proyectos obtuvieron una calificación del 80%  Promedio General: 94,44%</t>
  </si>
  <si>
    <t>Durante el periodo de enero se cargo información completa para 6 de 6 proyectos, obteniendo una calificación del 100%. Durante el periodo de febrero se cargo información completa para 6 de 6 proyectos, obteniendo una calificación del 100%. Durante el periodo de marzo se cargo información completa para 6 de 6 proyectos, obteniendo una calificación del 100%.</t>
  </si>
  <si>
    <t>Se califica con el mayor puntaje para  los periodos evaluados, considerando que la dependencia realizó la actualización del portafolio antes de la fecha requerida y por cumplir con los compromisos de actualización de la información resaltados en la jornada de verificación al portafolio de proyectos de la dependencia.</t>
  </si>
  <si>
    <t>Teniendo en cuenta  los criterios evaluados en el Indicador de Reporte, en el que se realiza el cargue completo de los proyectos antes del tiempo establecido, se otorga la calificación general del 97.22%.</t>
  </si>
  <si>
    <t>Al terminar el trimestre ene-mar; la dependencia presentaba:   No de Proyectos Estratégicos con Asignación de Recursos o en Ejecución: 7 No de Proyectos Estratégicos en Gestión: 2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</si>
  <si>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 para estos últimos meses evaluados la dependencia tenía  1  proyecto suspendido para el mes de Marzo.</t>
  </si>
  <si>
    <t>Se realizó la medición desde el período 2024 a corte del 31 de marzo de 2026, determinando que la dependencia tiene 7 proyectos liquidados,  14 en proceso de liquidación,  y 0 proyecto con acta final   de acuerdo con lo reportado en Portafolio para el trimestre.</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</si>
  <si>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Como resultado de esto a continuación, se presentan las convocatorias  identificadas susceptibles de ser postuladas:  ID:56. Fondo Canadá para Iniciativas Locales - Colombia ID: 81. fortalecimiento de iniciativas colectivas de vivienda autogestionada para organizaciones de Personas en Proceso de Reincorporación. Mujer cabeza de familia  ID:75. Convocatoria para la selección de beneficiarias para participar en la Ruta Micronegocios del Fondo Mujer Libre y Productiva.  2. La Secretaría se postuló a las siguientes convocatorias: ID: 81. fortalecimiento de iniciativas colectivas de vivienda autogestionada para organizaciones de Personas en Proceso de Reincorporación. ID:75. Convocatoria para la selección de beneficiarias para participar en la Ruta Micronegocios del Fondo Mujer Libre y Productiva.  Mujer cabeza de familia 3. Formula Eficacia ((3/5)*100)=75% 4. Formula Eficiencia ((2/4)*100)=50% Durante el período de evaluación, la eficiencia acumulada fue del 75 %, correspondiente a tres convocatorias aprobadas de un total de cinco presentadas. Cabe señalar que las iniciativas aprobadas fueron las identificadas con los ID 61, 75 y 98.</t>
  </si>
  <si>
    <t>El avance acumulado de cumplimiento de metas del Plan de Desarrollo 2024-2027: Sucre Tierra de Oportunidades, a corte del mes de Marzo de 2026 era de: 47,22%; de acuerdo con el cargue de información generado por la dependencias y el seguimiento realizado a la ejecución del Plan Indicativo.</t>
  </si>
  <si>
    <t>Durante el periodo de enero se reportaron 4 de 4 proyectos, obteniendo una calificación del 100%. Durante el periodo de febrero se reportaron 5 proyectos los cuales obtuvieron una calificación del 100%. Durante el periodo de marzo se reportaron 8 proyectos de los cuales 3 proyectos obtuvieron una calificación del 100%, 5 proyectos obtuvieron una calificación del 80%. Para un porcentaje de 87,5%. Promedio general: 95,8%</t>
  </si>
  <si>
    <t>Durante el periodo de enero, febrero y marzo se cargo información completa para cada proyecto, obteniendo una calificación del 100%.</t>
  </si>
  <si>
    <t>Teniendo en cuenta  los criterios evaluados en el Indicador de Reporte, en el que se realiza el cargue completo de los proyectos antes del tiempo establecido, se otorga la calificación general del 97,92%.</t>
  </si>
  <si>
    <t>Al terminar el trimestre ene-mar; la dependencia presentaba:   No de Proyectos Estratégicos con Asignación de Recursos o en Ejecución: 0 No de Proyectos Estratégicos en Gestión: 7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</si>
  <si>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 para estos últimos meses evaluados la dependencia tenía 0  proyectos suspendidos hasta  la fecha.</t>
  </si>
  <si>
    <t>Se realizó la medición desde el período 2024 a corte del 31 de marzo de 2026, determinando que la dependencia para el mes de Enero tenía 11 proyectos liquidados,  31 en proceso de liquidación,  y  8 proyectos con acta final. En Marzo tenía 11 proyectos liquidados, 33 proyectos en proceso de liquidación y  13  proyectos con acta final . Abril tenía 13 proyectos liquidados, 33 en proceso de liquidación y  12 con acta final de acuerdo con lo reportado en Portafolio para el trimestre.</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</si>
  <si>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Como resultado de esto a continuación, se presentan las convocatorias identificadas susceptibles de ser postuladas:   ID:25. Fondos para fortalecer la filantropía comunitaria. ID: 69.Oportunidad de financiación para la sociedad civil y las ONG comunitarias: Programa de Participación de la UNESCO (2026-2027). ID 118 Escuela Policarpa - DIPLOMADO ID:60.Convocatoria de Apoyo Financiero a Terceros (AFT) del Programa EU-LAC Social Accelerator). ID:110. "CONVOCATORIA 1 “LAS JEFAS DE HOGAR SOSTIENEN LA ECONOMÍA POPULAR”  ID 75 Convocatoria para la selección de beneficiarias para participar en la Ruta Micronegocios del Fondo Mujer Libre y Productiva. ID 97 INNpulsa Mujeres. 2. La Secretaría se postuló a las siguientes convocatorias: ID:110. "CONVOCATORIA 1 “LAS JEFAS DE HOGAR SOSTIENEN LA ECONOMÍA POPULAR”  ID 75 Convocatoria para la selección de beneficiarias para participar en la Ruta Micronegocios del Fondo Mujer Libre y Productiva. ID 118 Escuela Policarpa - DIPLOMADO. ID 97 INNpulsa Mujeres. 3. Formula Eficacia ((4/7)*100)=57,14% 4. Formula Eficiencia ((2/4)*100)=50% Durante el período de evaluación, se adelantó la gestión y acompañamiento para la inscripción de mujeres en las convocatorias “Ruta Micronegocios del Fondo Mujer Libre y Productiva” e “INNpulsa Mujeres”, logrando la postulación de un total de 211 mujeres. Como resultado preliminar, 9 mujeres pertenecientes a las cohortes 1 y 2 fueron seleccionadas como beneficiarias en la convocatoria Ruta Micronegocios, mientras se encuentran pendientes los resultados de las demás cohortes y postulaciones realizadas.</t>
  </si>
  <si>
    <t>El avance acumulado de cumplimiento de metas del Plan de Desarrollo 2024-2027: Sucre Tierra de Oportunidades, a corte del mes de Marzo de 2026 era de: 55,13%; de acuerdo con el cargue de información generado por la dependencias y el seguimiento realizado a la ejecución del Plan Indicativo.</t>
  </si>
  <si>
    <t>Durante el periodo de enero se cargo información completa para 5 de 5 proyectos, obteniendo una calificación del 100%. Durante el periodo de febrero se reportaron 6 proyectos de los cuales 5 obtuvieron una calificación del 100%, 1 proyecto obtuvo una calificación del 80% para un promedio general de 96,7% Durante el periodo de enero se cargo información completa para 6 de 6 proyectos, obteniendo una calificación del 100%. Promedio General: 98,9%</t>
  </si>
  <si>
    <t>Durante el periodo de enero se cargo información completa para 5 de 5 proyectos, obteniendo una calificación del 100%. Durante el periodo de febrero se cargo información completa para 5 de 5 proyectos, obteniendo una calificación del 100%. Durante el periodo de marzo se cargo información completa para 5 de 5 proyectos, obteniendo una calificación del 100%.</t>
  </si>
  <si>
    <t>Gesproy</t>
  </si>
  <si>
    <t>La información correspondiente a los proyectos se califica con base en las fechas de entrega registradas.</t>
  </si>
  <si>
    <t>Se evaluaron 2 proyectos y se determinó el puntaje de la calidad de la información con base en lo remitido por las sectoriales.</t>
  </si>
  <si>
    <t>Teniendo en cuenta  los criterios evaluados en el Indicador de Reporte, en el que se realiza el cargue completo de los proyectos antes del tiempo establecido, se otorga la calificación general del 99,45%.</t>
  </si>
  <si>
    <t>Indice de Eficiencia en la Contratación o Indice de Eficiencia en la Ejecución - GESPROY</t>
  </si>
  <si>
    <t>Promedio del Índice mensual de Eficiencia a la Contratación o o Índice de Eficiencia en la Ejecución de los proyectos financiados con recursos del Sistema General de Regalías cargados en Gesproy para la Secretaría.</t>
  </si>
  <si>
    <t>Para la evaluación del desempeño en la planeación del proyecto, se consideran únicamente los proyectos en ejecución y sin contratar, de conformidad con los lineamientos establecidos por el DNP. En cada caso particular, la puntuación asignada se detalla en el anexo correspondiente; para los proyectos en ejecución, la determinación del puntaje se fundamenta principalmente en los indicadores CPI y SPI reportados en la plataforma Gesproy.</t>
  </si>
  <si>
    <t>Al terminar el trimestre ene-mar; la dependencia presentaba:   No de Proyectos Estratégicos con Asignación de Recursos o en Ejecución: 5 No de Proyectos Estratégicos en Gestión: 3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</si>
  <si>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 para los meses  Enero y Febrero  1 proyecto liquidado,  21 en proceso de liquidación,  y 1 proyecto con acta final. Para Abril  1 proyecto liquidado, 35 en proceso de liquidación y 1 con acta final  de acuerdo con lo reportado en Portafolio para el trimestre.</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</si>
  <si>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Como resultado de esto a continuación, se presentan las convocatorias identificadas susceptibles de ser postuladas:   ID19  :Convocatoria Agencia Francesa de Desarrollo de los Fondos para la Innovación en el Desarrollo. ID 37: FORTALECIMIENTO Y CREACIÓN DE NUEVOS CENTROS E INSTITUTOS DE INVESTIGACIÓN, CENTROS DE DESARROLLO TECNOLÓGICO Y CENTROS DE CIENCIA. ID 47 y 48: Obras Por Impuestos.  2. La Secretaría solo se postuló a una de las  convocatorias mapeadas susceptibles a postulación. ID47 y 48: Obras Por Impuestos.  Nota: La secretaría realizó dos gestiones fuera de las convocatorias mapeadas, una en el ministerio de educación para asignaciones del SGR del 40% y  Durante el período de evaluación, la eficiencia acumulativa fue de 33,33%, teniendo en cuenta, que solo una de las postulaciones fue aprobada</t>
  </si>
  <si>
    <t>Durante el período de evaluación, la eficiencia acumulativa fue de 33,33%, teniendo en cuenta, que solo una de las postulaciones fue aprobada</t>
  </si>
  <si>
    <t>El avance acumulado de cumplimiento de metas del Plan de Desarrollo 2024-2027: Sucre Tierra de Oportunidades, a corte del mes de Marzo de 2026 era de: 44,58%; de acuerdo con el cargue de información generado por la dependencias y el seguimiento realizado a la ejecución del Plan Indicativo.</t>
  </si>
  <si>
    <t>Se evaluaron 14  proyectos y se determinó el puntaje de la calidad de la información con base en lo remitido por las sectoriales.</t>
  </si>
  <si>
    <t>Al terminar el trimestre ene-mar; la dependencia presentaba:   No de Proyectos Estratégicos con Asignación de Recursos o en Ejecución: 0 No de Proyectos Estratégicos en Gestión: 6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</si>
  <si>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período 2024 a corte del 31 de marzo de 2026, determinando que la dependencia para el mes de Enero tenía 2 proyectos liquidados, 58 proyectos en proceso de liquidación y 0 con  acta final . Para Marzo  2 proyecto liquidado,  57 en proceso de liquidación,  y 3 proyectos con acta final . Abril   1 proyecto liquidado, 46 en proceso de liquidación y  3 con acta final  de acuerdo con lo reportado en Portafolio.</t>
  </si>
  <si>
    <t>Durante el trimestre enero–febrero–marzo se contó con 68 convocatorias disponibles en la matriz de seguimiento. De estas, se realizó el mapeo y análisis de viabilidad de 23 convocatorias, avanzando posteriormente en la postulación de 5 iniciativas, de las cuales 2 resultaron beneficiadas  ID 1 – Capacitaciones Proyectos Crecimiento Verde  ID 2 – ScotiaINSPIRA  ID 4 – finbi - Banca de Inversión para Pymes-crédito  ID 5 – Colombia Solar ¡Para Economías Populares!  ID 6 – ¡Oportunidad de Financiamiento! España abre convocatoria para proyectos 2025  ID 10 – Fábricas de Productividad y Sostenibilidad  ID 11 – Fondo Francés para el Medio Ambiente (FFEM)  ID 12 – Cursos gratuitos del Centro Internacional de Formación de la OIT  ID 13 – Fortalecimiento empresarial  ID 16 – innovaSFC  ID 17 – Neocrédito  ID 19 – Convocatoria Agencia Francesa de Desarrollo de los Fondos para la Innovación en el Desarrollo  ID 23 – Draper Richards Kaplan  ID 24 – Ideas grandes y audaces para un futuro mejor  ID 27 – Fondo Holandés para el Clima y el Desarrollo  ID 28 – Programa de Ayuda Directa (DAP)  ID 30 – SGP Programa de Pequeñas Donaciones del FMAM  ID 35 – SENA Emprende Rural  ID 40 – Programa ALDEA+ 25 ID 42 – Cooperación e innovación para impulsar sistemas agroalimentarios más productivos, rentables y competitivos con menor huella ambiental en América Latina y el Caribe  ID 43 – Conservación de áreas ambientales estratégicas y lucha nacional contra la deforestación (SGR)  ID 44 – Conservación de áreas ambientales estratégicas y lucha nacional contra la deforestación para pueblos y comunidades indígenas (SGR)  ID 45 – Conservación de áreas ambientales estratégicas y lucha nacional contra la deforestación para comunidades negras, afrocolombianas, raizales y palenqueras (SGR)  ID 46 – OCAD Paz Tercera convocatoria (SGR)  ID 47 Y 48 - OXI  ID 51 – Ronda 11 de catalizadores energéticos: fase inicial  ID 56 – Fondo Canadá para Iniciativas Locales – Colombia (2025)  ID 57 – Segunda convocatoria OCAD Paz bienio 2025-2026  ID 58 – Desarrollo del sector agropecuario y emprendimientos rurales – SGR 5%  ID 61 – Banco de iniciativas para las comunidades (Juntas de Acción Comunal)  ID 67 – Ministerio de Agricultura y Desarrollo Rural – Ruralidad para la Vida  ID 70 – Territorios Clúster 2026: Acompañamiento  ID 71 – Línea de crédito “Transformación Financiera, Territorios de Paz 2025”  ID 74 – VISIÓN REGIÓN 2.0: Estructuración estudios y diseños  ID 75 – Ruta Micronegocios del Fondo Mujer Libre y Productiva  ID 83 – Apply to Join CFA – Propuestas 2026 Colombia  ID 85 – Fortalecimiento y creación de nuevos centros e institutos de investigación, centros de desarrollo tecnológico y centros de ciencia  ID 86 – 28th Call for Proposals ID 88 – Sostenibilidad para la cadena de valor del turismo  ID 89 – Voces de Mujeres 2026  ID 94 – Global EbA Fund  ID 96 – Open Innovation Challenge para Desarrollo Rural  ID 97 – INNpulsa Mujeres  ID 102 – Fundación La Caixa  ID 105 – Agro Tech  ID 108 – Programa de Desafío de Ayuda Oficial al Desarrollo de Seúl 2026  ID 110 – “Las Jefas de Hogar Sostienen la Economía Popular” ID 116 – Premio al Fomento del Desarrollo Local  ID 118 – Microgrant para Mujeres Emprendedoras  ID 120 – AgroImpulso Rural  ID 121 – Termina con la pobreza – Challenge  ID 122 – Economía Campesina – Fondo Emprender  ID 123 – “Las Jefas de Hogar Sostienen la Economía Popular” – Fortalecimiento de unidades productivas asociativas  ID 128 – Programa de subvenciones para la conectividad centrada en la comunidad ID 134 – SSbD Bio-basados para Fertilizantes y Protección de Cultivos UE  ID 138 – Grants to Foster Community Philanthropy  ID 139 – Bioeconomía – fortalecimiento productivo y alistamiento comercial de unidades productivas y/o mipymes basadas en bioeconomía  ID 141 – En-Campo 2026 – 7ª Cohorte A partir del análisis de viabilidad técnica y alineación estratégica, se realizaron postulaciones a las siguientes convocatorias:  ID 74 – VISIÓN REGIÓN 2.0: Estructuración estudios y diseños  ID 11 – Fondo Francés para el Medio Ambiente (FFEM)  ID 75 – Ruta Micronegocios del Fondo Mujer Libre y Productiva  ID 110 y 123 – “Las Jefas de Hogar Sostienen la Economía Popular”  Mujer Protegida (apoyo en proceso de postulación)  ID 47 Y 48 - OXI  Como resultado del proceso adelantado durante el trimestre, fueron aprobadas las siguientes convocatorias:  ID 75 – Ruta Micronegocios del Fondo Mujer Libre y Productiva  ID 110 y 123 – “Las Jefas de Hogar Sostienen la Economía Popular”.</t>
  </si>
  <si>
    <t>El avance acumulado de cumplimiento de metas del Plan de Desarrollo 2024-2027: Sucre Tierra de Oportunidades, a corte del mes de Marzo de 2026 era de: 27,27%; de acuerdo con el cargue de información generado por la dependencias y el seguimiento realizado a la ejecución del Plan Indicativo.</t>
  </si>
  <si>
    <t>Los proyectos ejecutados por entidades descentralizadas se evalúan con base en la ejecución reportada en la plataforma, en tanto dichas entidades son las responsables directas del cargue y envío de la información, sin que esta sea remitida de manera directa por la entidad territorial.</t>
  </si>
  <si>
    <t>Los proyectos ejecutados por entidades descentralizadas se evalúan con base en la ejecución reportada en la plataforma, toda vez que dichas entidades son las responsables directas del cargue y envío de la información, sin que esta sea remitida de manera directa por la entidad territorial.</t>
  </si>
  <si>
    <t>Para la evaluación del desempeño en la planeación del proyecto, únicamente se consideran los proyectos en ejecución y sin contratar, de conformidad con los lineamientos establecidos por el DNP. En cada caso particular, la puntuación asignada se detalla en el anexo correspondiente, teniendo en cuenta que, para los proyectos en ejecución, las principales herramientas utilizadas para la determinación del puntaje son los indicadores CPI, SPI, avance físico y avance financiero mostrados en la plataforma Gesproy.</t>
  </si>
  <si>
    <t>Al terminar el trimestre ene-mar; la dependencia presentaba:   No de Proyectos Estratégicos con Asignación de Recursos o en Ejecución: 4 No de Proyectos Estratégicos en Gestión: 2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</si>
  <si>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 para los meses de Enero y Febrero tenía 7 proyectos suspendidos y para Abril 8 proyectos suspendidos  de acuerdo a la información reportada en portafolio. Los resultados para cada mes varían de acuerdo a los proyectos en ejecución .</t>
  </si>
  <si>
    <t>Se realizó la medición desde el período 2024 a corte del 31 de marzo de 2026, determinando que la dependencia tiene 12 proyectos liquidados,  2 en proceso de liquidación,  y 3 proyectos con acta final   de acuerdo con lo reportado en Portafolio.</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</si>
  <si>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Como resultado de esto a continuación, se presentan las convocatorias identificadas susceptibles de ser postuladas:   ID : 78 Aqua Connect BID Lab. ID: 47 y 48 Obras Por Impuestos.  2. La Entidad no se postuló a las  convocatorias mapeadas susceptibles a postulación. 3. Formula Eficacia ((0/2)*100)=0% 4. Formula Eficiencia ((0/0)*100)=0% Durante el período de evaluación, la eficiencia acumulativa fue de 0%, teniendo en cuenta, que no se postularon a las convocatorias por tanto no fueron  aprobadas.</t>
  </si>
  <si>
    <t>la eficiencia acumulativa fue de 0%, teniendo en cuenta, que no se postularon a las convocatorias por tanto no fueron  aprobadas.</t>
  </si>
  <si>
    <t>No se evidenciaron metas gestionadas en el período de Evaluación</t>
  </si>
  <si>
    <t>El avance acumulado de cumplimiento de metas del Plan de Desarrollo 2024-2027: Sucre Tierra de Oportunidades, a corte del mes de Marzo de 2026 era de: 0,00%; de acuerdo con el cargue de información generado por la dependencias y el seguimiento realizado a la ejecución del Plan Indicativo.</t>
  </si>
  <si>
    <t>Se califica con 50% para  los periodos evaluados, considerando que la dependencia realizó la actualización del portafolio  después del tiempo solicitado.</t>
  </si>
  <si>
    <t>Se califica con 50% para los periodos evaluados,  considerando que la dependencia No realizó la actualización del portafolio antes de la fecha requerida para su informe mensual y falta realizar la actualización al portafolio de proyectos con el enlace asignado.</t>
  </si>
  <si>
    <t>Se  realizó la medición desde el periodo 2024 a corte de  31 de marzo de 2026 , para estos últimos meses evaluados la dependencia tenía  0 proyectos suspendidos hasta  la fecha.</t>
  </si>
  <si>
    <t>Se realizó la medición desde el período 2024 a corte del 31 de marzo de 2026, determinando que la dependencia tiene 0 proyectos liquidados en el trimestre ,  4 en proceso de liquidación,  y 1  proyecto con acta final   de acuerdo con lo reportado en Portafolio.</t>
  </si>
  <si>
    <t>La escuela podía presentarse a la convocatoria ID 109: convocatoria para el curso de alta formación “La digitalización del patrimonio cultural: una comparación entre Italia y América Latina”.</t>
  </si>
  <si>
    <t>No se evidenció avance de metas por gestión en el período de evaluación</t>
  </si>
  <si>
    <t>El avance acumulado de cumplimiento de metas del Plan de Desarrollo 2024-2027: Sucre Tierra de Oportunidades, a corte del mes de Marzo de 2026 era de: 33,33%; de acuerdo con el cargue de información generado por la dependencias y el seguimiento realizado a la ejecución del Plan Indicativo</t>
  </si>
  <si>
    <t>Durante el periodo de enero se reportaron  2 de 2 proyectos, obteniendo una calificación del 100%. Durante el periodo de febrero se reportaron 2 proyectos, los cuales  obtuvieron una calificación del 100%. Durante el periodo de marzo se reportaron 2 proyectos, los cuales  obtuvieron una calificación del 100%.</t>
  </si>
  <si>
    <t>Durante el periodo de enero se cargo información completa para 2 de 2 proyectos, obteniendo una calificación del 100%. Durante el periodo de febrero se cargo información completa para 2 de 2 proyectos, obteniendo una calificación del 100%. Durante el periodo de marzo se cargo información completa para 2 de 2 proyectos, obteniendo una calificación del 100%.</t>
  </si>
  <si>
    <t>Se evaluaron 6 proyectos y se determinó el puntaje de la calidad de la información con base en lo remitido por las sectoriales.</t>
  </si>
  <si>
    <t>Al terminar el trimestre ene-mar; la dependencia presentaba:   No de Proyectos Estratégicos con Asignación de Recursos o en Ejecución: 6 No de Proyectos Estratégicos en Gestión: 4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</si>
  <si>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 para el mes de Enero tenía 1 proyecto suspendido y  estos últimos meses evaluados la dependencia tenía  2 proyectos suspendidos hasta  la fecha.</t>
  </si>
  <si>
    <t>Se realizó la medición desde el período 2024 a corte del 31 de marzo de 2026, determinando que la dependencia para los meses de Enero y Febrero  tenía  1 proyecto liquidado,  4 en proceso de liquidación,  y 1  proyecto con acta final  y para  Abril   2 proyectos liquidados, 2 proyectos en proceso de liquidación y 2 con acta final   de acuerdo con lo reportado en Portafolio.</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</si>
  <si>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Como resultado de esto a continuación, se presentan las convocatorias identificadas susceptibles de ser postuladas:    ID:80. Convocatoria pública y competitiva - Incentivo a la Producción 2025. ID: 52.Convocatoria 5%  del mayor recaudo 2026. ID: Global Gateway Early - Stage Investment Mechanism. ID: 41 Call for Projects 2026 of the Mitigation Action Facility. ID : 46 OCAD PAZ Tercera convocatoria (SGR). ID: 113 Convocatoria de Youth4Climate para Soluciones 2026.  ID 108:  Desafío Seúl 2. La Secretaría se postuló a las siguientes convocatorias: ID : 80 ID: 52 ID : Global Gateway Early - Stage Investment Mechanism. ID 108:  Desafío Seúl 3. Formula Eficacia ((3/7)*100)=42,86% 4. Formula Eficiencia ((1/3)*100)=33,33% Durante el período de evaluación, la eficiencia acumulativa fue de 33,33%, teniendo en cuenta, que solo una de las convocatorias fue aprobada.</t>
  </si>
  <si>
    <t>De las convocatorias postuladas ganaron ID:80. Convocatoria pública y competitiva - Incentivo a la Producción 2025, con el proyecto "Construcción de sistemas individuales de energía solar fotovoltaica en la zona rural del municipio de Sucre en el departamento de Sucre."</t>
  </si>
  <si>
    <t>El avance acumulado de cumplimiento de metas del Plan de Desarrollo 2024-2027: Sucre Tierra de Oportunidades, a corte del mes de Marzo de 2026 era de: 42,86%; de acuerdo con el cargue de información generado por la dependencias y el seguimiento realizado a la ejecución del Plan Indicativo.</t>
  </si>
  <si>
    <t>Durante el periodo de enero se reportaron  3 de 3 proyectos, obteniendo una calificación del 100%. Durante el periodo de febrero se reportaron 6 proyectos, los cuales obtuvieron una calificación del 100%. Durante el periodo de marzo se reportaron 6 proyectos en Fondo Mixto. En cuanto a los resultados, 4 proyectos obtuvieron una calificación del 100%, 2 proyectos obtuvieron una calificación del 80%. Promedio General: 93,33%</t>
  </si>
  <si>
    <t>Durante el periodo de enero se cargo información completa para 3 de 3 proyectos, obteniendo una calificación del 100%. Durante el periodo de febrero se cargo información completa para 6 de 6 proyectos, obteniendo una calificación del 100%. Durante el periodo de marzo se cargo información completa para 6 de 6 proyectos, obteniendo una calificación del 100%.</t>
  </si>
  <si>
    <t>Teniendo en cuenta  los criterios evaluados en el Indicador de Reporte, en el que se realiza el cargue completo de los proyectos antes del tiempo establecido, se otorga la calificación general del 96,65%.</t>
  </si>
  <si>
    <t>Al terminar el trimestre ene-mar; la dependencia presentaba:   No de Proyectos Estratégicos con Asignación de Recursos o en Ejecución: 0 No de Proyectos Estratégicos en Gestión:3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</si>
  <si>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 para estos últimos meses evaluados la dependencia tenía  1  proyecto suspendido  el resultado para cada mes varía de acuerdo a los proyectos que se encontraban en ejecución.</t>
  </si>
  <si>
    <t>Se realizó la medición desde el período 2024 a corte del 31 de marzo de 2026, determinando que la dependencia tiene 6 proyectos liquidados,  2 en proceso de liquidación,  y 0 proyecto con acta final   de acuerdo con lo reportado en Portafolio en el  trimestre.</t>
  </si>
  <si>
    <t>Durante el trimestre enero–febrero–marzo se contó con 13 convocatorias disponibles en la matriz de seguimiento, correspondientes a: ID 68 – Convocatoria Territorial 2026 “Artesanías, Territorio y Paz Total” ID 87 – Programa de Estímulos del ICANH ID 90 – Beca para el fortalecimiento de carpas de circo ID 91 – Beca Centros de Danza y Movimiento 2026 ID 92 – Beca de propuestas expositivas para espacios colombianos de circulación en artes plásticas y visuales ID 93 – Beca para la articulación entre casas de cultura e infraestructuras culturales para la vida ID 109 – Curso de alta formación “La digitalización del patrimonio cultural: una comparación entre Italia y América Latina” ID 115 – Programa de apoyo al perfeccionamiento musical de alto nivel para jóvenes talentos de América Latina ID 124 – Cultura Latinoamérica – SURA ID 130 – Programa Nacional de Estímulos ID 131 – Cultura es Dignidad Mayor A partir del análisis y gestión adelantada durante el periodo, se realizaron postulaciones a las siguientes convocatorias: Dinamización de Espacios Culturales – MinCultura Fondo UNESCO – Aschberg Programme for Artists and Cultural Professionals Artesanías de Colombia (apoyo en postulación) Colombia Dignidad Mayor (apoyo en postulación) Adicionalmente, se continuó el proceso de formulación para futura postulación al Programa Iberoamericano de Bibliotecas.</t>
  </si>
  <si>
    <t>El avance acumulado de cumplimiento de metas del Plan de Desarrollo 2024-2027: Sucre Tierra de Oportunidades, a corte del mes de Marzo de 2026 era de: 27,59%; de acuerdo con el cargue de información generado por la dependencias y el seguimiento realizado a la ejecución del Plan Indicativo.</t>
  </si>
  <si>
    <t>Durante el periodo de enero No se reportaron  proyectos, No se encontraban contratados. Durante el periodo de febrero se reportaron 4 proyectos en Inder. Que obtuvieron una calificación del 80%, por lo que se le da una valoración de 80%. Durante el periodo de marzo se reportaron 4 proyectos en Inder. Que obtuvieron una calificación del 80%, por lo que se le da una valoración de 80%.</t>
  </si>
  <si>
    <t>Durante el periodo de enero No se reportaron  proyectos, No se encontraban contratados. Durante el periodo de febrero se cargaron 4 proyectos en Inder.  por lo que se le da una valoración de 100%. Durante el periodo de marzo se cargaron 4 proyectos en Inder.  por lo que se le da una valoración de 100%.</t>
  </si>
  <si>
    <t>Durante el periodo de enero No se reportaron  proyectos, No se encontraban contratados. Teniendo en cuenta  los criterios evaluados en el Indicador de Reporte, en el que se realiza el cargue completo de los proyectos antes del tiempo establecido, se otorga la calificación general del 90% para los meses de febrero y marzo.</t>
  </si>
  <si>
    <t>Al terminar el trimestre ene-mar; la dependencia presentaba:   No de Proyectos Estratégicos con Asignación de Recursos o en Ejecución: 2 No de Proyectos Estratégicos en Gestión: 2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</si>
  <si>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para estos últimos meses evaluados la dependencia tenía  0 proyectos suspendidos hasta  la fecha.</t>
  </si>
  <si>
    <t>Se realizó la medición desde el período 2024 a corte del 31 de marzo  de 2026, determinando que la dependencia cuenta con 37  proyectos liquidados,11 en proceso de liquidación,  y 0  proyectos con acta final para el mes de enero, y para los meses de febrero y marzo  tenía con   37  proyectos liquidados,  12  en proceso de liquidación y 0 proyectos con acta final  de acuerdo con lo reportado en Portafolio.</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</si>
  <si>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Como resultado de esto a continuación, se presentan las convocatorias identificadas susceptibles de ser postuladas:    ID:69 Oportunidad de financiación para la sociedad civil y las ONG comunitarias: Programa de Participación de la UNESCO (2026-2027). ID:47 y 48 Obras Por Impuestos.  2.La Entidad no se postuló a las  convocatorias mapeadas susceptibles a postulación. Nota: La dependecnic no realizo postulaciones en el periodo evaluado.  3. Formula Eficacia ((0/2)*100)=0% 4. Formula Eficiencia ((0/0)*100)=0% Durante el período de evaluación, la eficiencia acumulativa fue de 0%, teniendo en cuenta, que el resultado de la gestión realizada mo se ha efectuado.</t>
  </si>
  <si>
    <t>El avance acumulado de cumplimiento de metas del Plan de Desarrollo 2024-2027: Sucre Tierra de Oportunidades, a corte del mes de Marzo de 2026 era de: 79,12%; de acuerdo con el cargue de información generado por la dependencias y el seguimiento realizado a la ejecución del Plan Indicativo.</t>
  </si>
  <si>
    <t>No realizó reporte en el mes de enero. Durante el periodo de febrero se reportaron 3 de 3 proyectos los cuales obtuvieron una calificación del 80%, por ser reportados el dia de cierre de la PIIP. Durante el periodo de marzo se reportaron 4 proyectos de los cuales 4 proyectos obtuvieron una calificación del 80% .</t>
  </si>
  <si>
    <t>No realizó reporte en el mes de enero. Durante el periodo de febrero se cargo información completa para 3 de 3 proyectos, obteniendo una calificación del 100%. Durante el periodo de febrero se cargo información completa para 3 de 3 proyectos, obteniendo una calificación del 100%.</t>
  </si>
  <si>
    <t>Se evaluaron 20 proyectos y se determinó el puntaje de la calidad de la información con base en lo remitido por las sectoriales.</t>
  </si>
  <si>
    <t>No realizó reporte en el mes de enero. Teniendo en cuenta  los criterios evaluados en el Indicador de Reporte, en el que se realiza el cargue completo de los proyectos antes del tiempo establecido, se otorga la calificación general del 90%.</t>
  </si>
  <si>
    <t>Al terminar el trimestre ene-mar; la dependencia presentaba:   No de Proyectos Estratégicos con Asignación de Recursos o en Ejecución: 7 No de Proyectos Estratégicos en Gestión: 8 Resultados: Se otorgó el siguiente puntaje a los proyectos de acuerdo a su estado de avance:  En Ejecución/Ejecutado:100% Viable con recursos asignados: 75% Viable en Gestión de Recursos: 70% (Postulado a algún mecanismo o ministerio) En Fase III sin postular: 50% En Perfilación o Formulación: 25% Sin Avance: 0% Gestión: Se midió porcentaje de compromisos cumplidos durante el trimestre de acuerdo a los programados.</t>
  </si>
  <si>
    <t>Se  realizó la medición desde el periodo 2024 a corte de  31 de marzo de 2026 , para los meses Enero y Abril tenía 8 proyectos suspendidos y para Marzo 6 proyectos loa resultados varían de acuerdo a los proyectos en ejecución para cada mes evaluado.</t>
  </si>
  <si>
    <t>Se realizó la medición desde el período 2024 a corte del 31 de marzo de 2026, determinando que la dependencia  en el mes de Enero tenía 22 proyectos liquidados,  17 en proceso de liquidación y  2 con acta final. Para Febrero  23 proyectos liquidados, 17 en proceso de liquidación y  1 con acta final. En  Marzo  tenía  26 proyectos liquidados, 15 en proceso de liquidación y 1  proyecto con acta final   de acuerdo con lo reportado en Portafoliopara el trimestre.</t>
  </si>
  <si>
    <t>Enero- Febrero - Marzo 1. Durante el primer trimestre de 2026 (enero, febrero y marzo), desde el componente de registro de convocatorias se realizó el mapeo de convocatorias y mecanismos de financiación, el cual se compartió con las dependencias a través de la Matriz ; cuya actualización se realiza diariamente.  Como resultado de esto a continuación, se presentan las convocatorias identificadas susceptibles de ser postuladas:    ID:20. Asistencia Financiera No Reembolsable para Proyectos Comunitarios de Seguridad Humana Kusanone ID: 108. Desafío ODA SEÚL 2026 ID:47 y 48 Obras Por Impuestos.  2. La Secretaría se postuló a las siguientes convocatorias: ID : 48 Nota: Una de las dos  postulaciones que se realizaron no fue en convocatorias susceptibles a postulación, es de gestiones que realizaron ante ministerio de transporte para asiganaciones de regalías del 40% Durante el período de evaluación, la eficiencia acumulativa fue de 50%, teniendo en cuenta, que solo una de las postulaciones fue aprobada</t>
  </si>
  <si>
    <t>la eficiencia acumulativa fue de 50%, teniendo en cuenta, que solo una de las postulaciones fue aprobada el proyecto "20250214000247 - Mejoramiento de la Vía terciaria comprendida entre Pajona, Cerro de las casas, Pisisi, libertad, la Barces, San Antonio segunda etapa desde la abscisa K9+300 hasta la abscisa K13+127 Municipio de San Onofre Departamento de Sucre"</t>
  </si>
  <si>
    <t>El avance acumulado de cumplimiento de metas del Plan de Desarrollo 2024-2027: Sucre Tierra de Oportunidades, a corte del mes de Marzo de 2026 era de: 17,67%; de acuerdo con el cargue de información generado por la dependencias y el seguimiento realizado a la ejecución del Plan Indicativo.</t>
  </si>
  <si>
    <t>Durante el periodo de enero No se reportaron  proyectos, No se encontraban contratados. Durante el periodo de febrero se reporto 1 proyecto a tiempo, obteniendo una calificación del 80% . Durante el periodo de marzo se reporto 1 proyecto antes de tiempo, obteniendo una calificación del 100%  Promedio General 90%.</t>
  </si>
  <si>
    <t>Durante el periodo de enero No se reportaron  proyectos, No se encontraban contratados. Durante el periodo de febrero se cargó la información completa para 1 proyecto, obteniendo una calificación del 100% . Durante el periodo de marzo se cargó la información completa para 1 proyecto, obteniendo una calificación del 100% .</t>
  </si>
  <si>
    <t>Durante el periodo de enero No se reportaron  proyectos, No se encontraban contratados.</t>
  </si>
  <si>
    <t>Se realizó la medición desde el período 2024 a corte del 31 de marzo de 2026, determinando que la dependencia tenía en el mes de Enero   y Febrero 1 proyecto liquidado,  2 en proceso de liquidación,  y 0  proyecto con acta final . Para Abril   tenía 1 proyecto  liquidado, 1 proyecto en proceso de liquidación y  0 con acta final  de acuerdo con lo reportado en Portafolio.</t>
  </si>
  <si>
    <t>Durante el trimestre enero–febrero–marzo se identificaron en la matriz de seguimiento convocatorias asociadas a transformación digital, innovación tecnológica, cooperación internacional, ciudades inteligentes y fortalecimiento de capacidades TIC, correspondientes a los siguientes ID: ID 9 – Equipamiento TIC para Proyectos Sociales en Países Emergentes ID 48 – Obras por Impuestos opción convenio primer corte ID 49 – Obras por Impuestos opción convenio segundo corte ID 79 – Plan de Convocatorias SGR – Asignación Ambiental y 20% del Mayor Recaudo (Bienio 2025–2026) ID 89 – Voces de Mujeres 2026 ID 94 – Global EbA Fund ID 95 – Digital Cities Innovation Accelerator Small Grants Program ID 101 – Tunegocio Digital ID 103 – Social Skin ID 115 – Programa de apoyo al perfeccionamiento musical de alto nivel para jóvenes talentos de América Latina ID 116 – Convocatoria de Cooperación Triangular – Plataforma TriNova 2026 ID 117 – Tecnologías para aprender – Computadores para Educar (CPE) ID 124 – Cultura Latinoamérica – SURA ID 126 – VerdeXcelerate – AgTech con Impacto ID 127 – LEGADO 2026 ID 134 – SSbD Bio-basados para Fertilizantes y Protección de Cultivos UE ID 135 – Financiamiento por Etapas de Innovación ID 138 – Grants to Foster Community Philanthropy ID convocatoria OCAD Paz – Tercera convocatoria (SGR) A partir del análisis técnico de pertinencia, se identificó 1 convocatoria susceptible de postulación directa durante el trimestre correspondiente al eje TIC, asociada al Plan Bienal de Ciencia y Tecnología; sin embargo, tras la revisión de sus lineamientos, se determinó su mayor alineación con la Oficina TIC, por lo cual no se adelantó postulación desde el equipo. Se reconoce la participación efectiva en la convocatoria OCAD Paz – Tercera convocatoria (SGR), en la cual el proyecto presentado obtuvo el primer puesto en la lista de elegibles, encontrándose en etapa de verificación. Por lo anterior, se asigna un reconocimiento parcial del 1,25% en el indicador de eficiencia , como reflejo del avance en la fase de elegibilidad dentro del proceso de evaluación.</t>
  </si>
  <si>
    <t>El avance acumulado de cumplimiento de metas del Plan de Desarrollo 2024-2027: Sucre Tierra de Oportunidades, a corte del mes de Marzo de 2026 era de: 45,45%; de acuerdo con el cargue de información generado por la dependencias y el seguimiento realizado a la ejecución del Plan Indicativ</t>
  </si>
  <si>
    <t>Indice mensual de acuerdo con la ejecución física cargada</t>
  </si>
  <si>
    <t>Se realizó la medición desde el período 2024 a corte del 31 de marzo de 2026, determinando que la dependencia tiene 0 proyectos liquidados,  10 en proceso de liquidación,  y 5 proyectos con acta final   de acuerdo con lo reportado en Portafolio para el trimestre.</t>
  </si>
  <si>
    <t>Durante el trimestre enero–febrero–marzo se identificaron en la matriz de seguimiento las siguientes convocatorias asociadas a gestión del riesgo, adaptación climática, sostenibilidad e innovación ambiental: ID 84 – Convocatoria Honnold Foundation 2026 ID 103 – Social Skin ID 140 – Premio Benoît Maria A partir del análisis de disponibilidad y pertinencia temática, se evidenció una oferta limitada de convocatorias alineadas con el componente de gestión del riesgo, adaptación climática e infraestructura sostenible durante el periodo evaluado. De manera complementaria, el equipo continúa realizando seguimiento a postulaciones internacionales presentadas en periodos anteriores, entre las que se destacan iniciativas orientadas a cambio climático y financiamiento ambiental. Actualmente, estas postulaciones se encuentran en proceso de evaluación y/o lista de elegibles, por lo cual sus resultados definitivos aún están pendientes.</t>
  </si>
  <si>
    <t>El avance acumulado de cumplimiento de metas del Plan de Desarrollo 2024-2027: Sucre Tierra de Oportunidades, a corte del mes de Marzo de 2026 era de: 25,00%; de acuerdo con el cargue de información generado por la dependencias y el seguimiento realizado a la ejecución del Plan Indicativo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</si>
</sst>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7"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6"/>
      <color theme="1"/>
      <name val="Aptos Narrow"/>
      <family val="2"/>
      <scheme val="minor"/>
    </font>
    <font>
      <b/>
      <sz val="16"/>
      <color theme="0"/>
      <name val="Aptos Narrow"/>
      <family val="2"/>
      <scheme val="minor"/>
    </font>
    <font>
      <b/>
      <sz val="16"/>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
      <b/>
      <sz val="16"/>
      <color theme="7"/>
      <name val="Aptos Narrow"/>
      <family val="2"/>
      <scheme val="minor"/>
    </font>
    <font>
      <b/>
      <sz val="18"/>
      <color theme="1"/>
      <name val="Aptos Narrow"/>
      <family val="2"/>
      <scheme val="minor"/>
    </font>
    <font>
      <sz val="11"/>
      <color rgb="FF000000"/>
      <name val="Aptos Narrow"/>
      <family val="2"/>
      <scheme val="minor"/>
    </font>
    <font>
      <b/>
      <sz val="11"/>
      <color rgb="FF000000"/>
      <name val="Aptos Narrow"/>
      <family val="2"/>
      <scheme val="minor"/>
    </font>
    <font>
      <b/>
      <sz val="12"/>
      <color rgb="FF000000"/>
      <name val="Aptos Narrow"/>
      <family val="2"/>
      <scheme val="minor"/>
    </font>
    <font>
      <sz val="20"/>
      <color theme="1"/>
      <name val="Aptos Narrow"/>
      <family val="2"/>
      <scheme val="minor"/>
    </font>
    <font>
      <sz val="12"/>
      <color rgb="FF000000"/>
      <name val="Aptos Narrow"/>
      <family val="2"/>
      <scheme val="minor"/>
    </font>
    <font>
      <sz val="18"/>
      <color theme="1"/>
      <name val="Aptos Narrow"/>
      <family val="2"/>
      <scheme val="minor"/>
    </font>
    <font>
      <sz val="14"/>
      <color theme="1"/>
      <name val="Aptos Narrow"/>
      <family val="2"/>
      <scheme val="minor"/>
    </font>
    <font>
      <sz val="11"/>
      <color rgb="FF000000"/>
      <name val="Aptos Narrow"/>
      <family val="2"/>
    </font>
    <font>
      <b/>
      <sz val="12"/>
      <color theme="0"/>
      <name val="Aptos Narrow"/>
      <family val="2"/>
      <scheme val="minor"/>
    </font>
    <font>
      <sz val="12"/>
      <color rgb="FF000000"/>
      <name val="Aptos Narrow"/>
      <family val="2"/>
    </font>
    <font>
      <sz val="12"/>
      <name val="Aptos Narrow"/>
      <family val="2"/>
      <scheme val="minor"/>
    </font>
    <font>
      <b/>
      <sz val="16"/>
      <color rgb="FF0F9ED5"/>
      <name val="Aptos Narrow"/>
      <family val="2"/>
    </font>
    <font>
      <b/>
      <sz val="16"/>
      <color theme="3" tint="0.499984740745262"/>
      <name val="Aptos Narrow"/>
      <family val="2"/>
      <scheme val="minor"/>
    </font>
    <font>
      <sz val="14"/>
      <color rgb="FF000000"/>
      <name val="Aptos Narrow"/>
      <family val="2"/>
      <scheme val="minor"/>
    </font>
    <font>
      <sz val="14"/>
      <color rgb="FF000000"/>
      <name val="Aptos Narrow"/>
      <family val="2"/>
    </font>
    <font>
      <b/>
      <sz val="14"/>
      <color rgb="FF000000"/>
      <name val="Aptos Narrow"/>
      <family val="2"/>
    </font>
    <font>
      <sz val="16"/>
      <color rgb="FF000000"/>
      <name val="Aptos Narrow"/>
      <family val="2"/>
    </font>
    <font>
      <sz val="16"/>
      <color rgb="FF000000"/>
      <name val="Aptos Narrow"/>
      <family val="2"/>
      <scheme val="minor"/>
    </font>
    <font>
      <b/>
      <sz val="18"/>
      <color theme="0"/>
      <name val="Aptos Narrow"/>
      <family val="2"/>
      <scheme val="minor"/>
    </font>
    <font>
      <sz val="18"/>
      <color rgb="FF000000"/>
      <name val="Aptos Narrow"/>
      <family val="2"/>
      <scheme val="minor"/>
    </font>
    <font>
      <sz val="18"/>
      <color rgb="FF000000"/>
      <name val="Aptos Narrow"/>
      <family val="2"/>
    </font>
    <font>
      <b/>
      <sz val="16"/>
      <color theme="7"/>
      <name val="Aptos Narrow"/>
      <family val="2"/>
    </font>
    <font>
      <sz val="14"/>
      <color rgb="FF000000"/>
      <name val="Arial"/>
      <family val="2"/>
    </font>
    <font>
      <b/>
      <sz val="20"/>
      <color theme="7"/>
      <name val="Aptos Narrow"/>
      <family val="2"/>
      <scheme val="minor"/>
    </font>
    <font>
      <sz val="11"/>
      <color indexed="8"/>
      <name val="Calibri"/>
      <family val="2"/>
    </font>
  </fonts>
  <fills count="9">
    <fill>
      <patternFill patternType="none"/>
    </fill>
    <fill>
      <patternFill patternType="gray125"/>
    </fill>
    <fill>
      <patternFill patternType="solid">
        <fgColor theme="7" tint="-0.499984740745262"/>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bgColor indexed="64"/>
      </patternFill>
    </fill>
    <fill>
      <patternFill patternType="solid">
        <fgColor rgb="FFDAE9F8"/>
        <bgColor rgb="FF000000"/>
      </patternFill>
    </fill>
  </fills>
  <borders count="95">
    <border>
      <left/>
      <right/>
      <top/>
      <bottom/>
      <diagonal/>
    </border>
    <border>
      <left/>
      <right/>
      <top style="double">
        <color indexed="64"/>
      </top>
      <bottom style="double">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double">
        <color indexed="64"/>
      </top>
      <bottom/>
      <diagonal/>
    </border>
    <border>
      <left style="medium">
        <color indexed="64"/>
      </left>
      <right/>
      <top/>
      <bottom style="thin">
        <color indexed="64"/>
      </bottom>
      <diagonal/>
    </border>
    <border>
      <left style="medium">
        <color indexed="64"/>
      </left>
      <right/>
      <top/>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rgb="FF000000"/>
      </left>
      <right style="thin">
        <color rgb="FF000000"/>
      </right>
      <top style="double">
        <color indexed="64"/>
      </top>
      <bottom style="double">
        <color indexed="64"/>
      </bottom>
      <diagonal/>
    </border>
    <border>
      <left/>
      <right style="thin">
        <color indexed="64"/>
      </right>
      <top style="double">
        <color indexed="64"/>
      </top>
      <bottom/>
      <diagonal/>
    </border>
    <border>
      <left style="thin">
        <color indexed="64"/>
      </left>
      <right/>
      <top/>
      <bottom style="double">
        <color indexed="64"/>
      </bottom>
      <diagonal/>
    </border>
    <border>
      <left style="medium">
        <color indexed="64"/>
      </left>
      <right/>
      <top style="double">
        <color indexed="64"/>
      </top>
      <bottom style="double">
        <color indexed="64"/>
      </bottom>
      <diagonal/>
    </border>
    <border>
      <left/>
      <right style="thin">
        <color indexed="64"/>
      </right>
      <top/>
      <bottom style="double">
        <color indexed="64"/>
      </bottom>
      <diagonal/>
    </border>
    <border>
      <left/>
      <right style="thin">
        <color indexed="64"/>
      </right>
      <top/>
      <bottom style="thin">
        <color rgb="FF000000"/>
      </bottom>
      <diagonal/>
    </border>
    <border>
      <left/>
      <right style="thin">
        <color rgb="FF000000"/>
      </right>
      <top style="thin">
        <color rgb="FF000000"/>
      </top>
      <bottom/>
      <diagonal/>
    </border>
    <border>
      <left style="thin">
        <color rgb="FF000000"/>
      </left>
      <right style="thin">
        <color rgb="FF000000"/>
      </right>
      <top style="double">
        <color indexed="64"/>
      </top>
      <bottom/>
      <diagonal/>
    </border>
    <border>
      <left/>
      <right/>
      <top style="thin">
        <color rgb="FF000000"/>
      </top>
      <bottom style="thin">
        <color rgb="FF000000"/>
      </bottom>
      <diagonal/>
    </border>
    <border>
      <left/>
      <right/>
      <top style="thin">
        <color rgb="FF000000"/>
      </top>
      <bottom/>
      <diagonal/>
    </border>
    <border>
      <left/>
      <right style="thin">
        <color indexed="64"/>
      </right>
      <top style="thin">
        <color rgb="FF000000"/>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double">
        <color indexed="64"/>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style="medium">
        <color indexed="64"/>
      </bottom>
      <diagonal/>
    </border>
    <border>
      <left/>
      <right style="medium">
        <color indexed="64"/>
      </right>
      <top style="double">
        <color indexed="64"/>
      </top>
      <bottom/>
      <diagonal/>
    </border>
    <border>
      <left/>
      <right style="medium">
        <color indexed="64"/>
      </right>
      <top/>
      <bottom style="double">
        <color indexed="64"/>
      </bottom>
      <diagonal/>
    </border>
    <border>
      <left style="medium">
        <color indexed="64"/>
      </left>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style="medium">
        <color indexed="64"/>
      </right>
      <top/>
      <bottom style="double">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
      <left/>
      <right style="thin">
        <color indexed="64"/>
      </right>
      <top style="thin">
        <color rgb="FF000000"/>
      </top>
      <bottom style="double">
        <color indexed="64"/>
      </bottom>
      <diagonal/>
    </border>
    <border>
      <left style="medium">
        <color indexed="64"/>
      </left>
      <right/>
      <top style="double">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double">
        <color indexed="64"/>
      </top>
      <bottom style="thin">
        <color indexed="64"/>
      </bottom>
      <diagonal/>
    </border>
    <border>
      <left style="medium">
        <color indexed="64"/>
      </left>
      <right style="thin">
        <color indexed="64"/>
      </right>
      <top/>
      <bottom style="double">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double">
        <color indexed="64"/>
      </top>
      <bottom style="medium">
        <color indexed="64"/>
      </bottom>
      <diagonal/>
    </border>
    <border>
      <left/>
      <right style="medium">
        <color indexed="64"/>
      </right>
      <top/>
      <bottom/>
      <diagonal/>
    </border>
    <border>
      <left/>
      <right style="medium">
        <color indexed="64"/>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9" fontId="1" fillId="0" borderId="0"/>
  </cellStyleXfs>
  <cellXfs count="466">
    <xf numFmtId="0" fontId="0" fillId="0" borderId="0" xfId="0"/>
    <xf numFmtId="0" fontId="0" fillId="0" borderId="0" xfId="0" applyAlignment="1">
      <alignment horizontal="center" wrapText="1"/>
    </xf>
    <xf numFmtId="0" fontId="0" fillId="0" borderId="0" xfId="0" applyAlignment="1">
      <alignment horizontal="center" vertical="center"/>
    </xf>
    <xf numFmtId="0" fontId="0" fillId="0" borderId="0" xfId="0" applyAlignment="1">
      <alignment wrapText="1"/>
    </xf>
    <xf numFmtId="10" fontId="5" fillId="2" borderId="0" xfId="1" applyNumberFormat="1" applyFont="1" applyFill="1" applyAlignment="1">
      <alignment horizontal="center" vertical="center" wrapText="1"/>
    </xf>
    <xf numFmtId="0" fontId="5" fillId="2" borderId="0" xfId="0" applyFont="1" applyFill="1" applyAlignment="1">
      <alignment horizontal="center" vertical="center" wrapText="1"/>
    </xf>
    <xf numFmtId="9" fontId="0" fillId="0" borderId="1" xfId="0" applyNumberForma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9" fontId="0" fillId="0" borderId="2" xfId="0" applyNumberFormat="1" applyBorder="1" applyAlignment="1">
      <alignment horizontal="center" vertical="center"/>
    </xf>
    <xf numFmtId="0" fontId="8" fillId="0" borderId="2" xfId="0" applyFont="1" applyBorder="1" applyAlignment="1">
      <alignment horizontal="center" vertical="center" wrapText="1"/>
    </xf>
    <xf numFmtId="9" fontId="0" fillId="0" borderId="3" xfId="0" applyNumberFormat="1" applyBorder="1" applyAlignment="1">
      <alignment horizontal="center" vertical="center"/>
    </xf>
    <xf numFmtId="0" fontId="8" fillId="0" borderId="3" xfId="0" applyFont="1" applyBorder="1" applyAlignment="1">
      <alignment horizontal="center" vertical="center" wrapText="1"/>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0" fontId="0" fillId="0" borderId="0" xfId="0" applyNumberFormat="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0" fillId="0" borderId="2" xfId="0" applyBorder="1" applyAlignment="1">
      <alignment horizontal="center" vertical="center"/>
    </xf>
    <xf numFmtId="10" fontId="0" fillId="0" borderId="2" xfId="0" applyNumberFormat="1" applyBorder="1" applyAlignment="1">
      <alignment horizontal="center" vertical="center"/>
    </xf>
    <xf numFmtId="9" fontId="1" fillId="0" borderId="2" xfId="1" applyBorder="1" applyAlignment="1">
      <alignment horizontal="center" vertical="center" wrapText="1"/>
    </xf>
    <xf numFmtId="10" fontId="1" fillId="0" borderId="2" xfId="1" applyNumberFormat="1" applyBorder="1" applyAlignment="1">
      <alignment horizontal="center" vertical="center" wrapText="1"/>
    </xf>
    <xf numFmtId="9" fontId="1" fillId="0" borderId="2" xfId="1" applyBorder="1" applyAlignment="1">
      <alignment horizontal="center" wrapText="1"/>
    </xf>
    <xf numFmtId="9" fontId="1" fillId="0" borderId="0" xfId="1" applyAlignment="1">
      <alignment horizontal="center" wrapText="1"/>
    </xf>
    <xf numFmtId="9" fontId="1" fillId="0" borderId="3" xfId="1" applyBorder="1" applyAlignment="1">
      <alignment horizontal="center" wrapText="1"/>
    </xf>
    <xf numFmtId="0" fontId="0" fillId="0" borderId="0" xfId="0" applyAlignment="1">
      <alignment vertical="center" wrapText="1"/>
    </xf>
    <xf numFmtId="10" fontId="3" fillId="5" borderId="2" xfId="0" applyNumberFormat="1" applyFont="1" applyFill="1" applyBorder="1" applyAlignment="1">
      <alignment horizontal="center" vertical="center" wrapText="1"/>
    </xf>
    <xf numFmtId="10" fontId="3" fillId="5" borderId="1" xfId="0" applyNumberFormat="1" applyFont="1" applyFill="1" applyBorder="1" applyAlignment="1">
      <alignment horizontal="center" vertical="center"/>
    </xf>
    <xf numFmtId="10" fontId="3" fillId="5" borderId="0" xfId="0" applyNumberFormat="1" applyFont="1" applyFill="1" applyAlignment="1">
      <alignment horizontal="center" vertical="center"/>
    </xf>
    <xf numFmtId="0" fontId="0" fillId="4" borderId="1" xfId="0" applyFill="1" applyBorder="1" applyAlignment="1">
      <alignment horizontal="center" vertical="center" wrapText="1"/>
    </xf>
    <xf numFmtId="10" fontId="0" fillId="4" borderId="1" xfId="1" applyNumberFormat="1"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0" xfId="0" applyFill="1" applyAlignment="1">
      <alignment horizontal="center" vertical="center" wrapText="1"/>
    </xf>
    <xf numFmtId="0" fontId="0" fillId="4" borderId="3" xfId="0" applyFill="1" applyBorder="1" applyAlignment="1">
      <alignment horizontal="center" vertical="center" wrapText="1"/>
    </xf>
    <xf numFmtId="0" fontId="8" fillId="5"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0" fillId="4" borderId="1" xfId="0" applyFill="1" applyBorder="1" applyAlignment="1">
      <alignment horizontal="left" vertical="center" wrapText="1"/>
    </xf>
    <xf numFmtId="0" fontId="2" fillId="0" borderId="0" xfId="0" applyFont="1"/>
    <xf numFmtId="164" fontId="0" fillId="0" borderId="1" xfId="0" applyNumberFormat="1" applyBorder="1" applyAlignment="1">
      <alignment horizontal="center" vertical="center"/>
    </xf>
    <xf numFmtId="10" fontId="10" fillId="3" borderId="4" xfId="0" applyNumberFormat="1" applyFont="1" applyFill="1" applyBorder="1" applyAlignment="1">
      <alignment horizontal="center" vertical="center" wrapText="1"/>
    </xf>
    <xf numFmtId="10" fontId="6" fillId="4" borderId="4" xfId="1" applyNumberFormat="1" applyFont="1" applyFill="1" applyBorder="1" applyAlignment="1">
      <alignment horizontal="center" vertical="center" wrapText="1"/>
    </xf>
    <xf numFmtId="10" fontId="13" fillId="5" borderId="1" xfId="0" applyNumberFormat="1" applyFont="1" applyFill="1" applyBorder="1" applyAlignment="1">
      <alignment horizontal="center" vertical="center"/>
    </xf>
    <xf numFmtId="10" fontId="12"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10" fontId="12" fillId="4" borderId="1" xfId="1" applyNumberFormat="1" applyFont="1" applyFill="1" applyBorder="1" applyAlignment="1">
      <alignment horizontal="center" vertical="center" wrapText="1"/>
    </xf>
    <xf numFmtId="0" fontId="12" fillId="0" borderId="1" xfId="0" applyFont="1" applyBorder="1" applyAlignment="1">
      <alignment horizontal="center" vertical="center"/>
    </xf>
    <xf numFmtId="10" fontId="0" fillId="4" borderId="1" xfId="1" applyNumberFormat="1" applyFont="1" applyFill="1" applyBorder="1" applyAlignment="1">
      <alignment horizontal="left" vertical="center" wrapText="1"/>
    </xf>
    <xf numFmtId="0" fontId="0" fillId="4" borderId="2" xfId="0" applyFill="1" applyBorder="1" applyAlignment="1">
      <alignment horizontal="left" vertical="center" wrapText="1"/>
    </xf>
    <xf numFmtId="0" fontId="0" fillId="4" borderId="0" xfId="0" applyFill="1" applyAlignment="1">
      <alignment horizontal="left" vertical="center" wrapText="1"/>
    </xf>
    <xf numFmtId="0" fontId="3" fillId="4" borderId="1" xfId="0" applyFont="1" applyFill="1" applyBorder="1" applyAlignment="1">
      <alignment horizontal="left" vertical="center" wrapText="1"/>
    </xf>
    <xf numFmtId="0" fontId="3" fillId="4" borderId="2" xfId="0" applyFont="1" applyFill="1" applyBorder="1" applyAlignment="1">
      <alignment horizontal="left" vertical="center" wrapText="1"/>
    </xf>
    <xf numFmtId="0" fontId="0" fillId="0" borderId="0" xfId="0" applyAlignment="1">
      <alignment horizontal="left"/>
    </xf>
    <xf numFmtId="0" fontId="15" fillId="0" borderId="0" xfId="0" applyFont="1" applyAlignment="1">
      <alignment vertical="center" wrapText="1"/>
    </xf>
    <xf numFmtId="0" fontId="7" fillId="0" borderId="0" xfId="0" applyFont="1"/>
    <xf numFmtId="0" fontId="7" fillId="4" borderId="1" xfId="0" applyFont="1" applyFill="1" applyBorder="1" applyAlignment="1">
      <alignment horizontal="left" vertical="center" wrapText="1"/>
    </xf>
    <xf numFmtId="9" fontId="7" fillId="0" borderId="3" xfId="1" applyFont="1" applyBorder="1" applyAlignment="1">
      <alignment horizontal="center" wrapText="1"/>
    </xf>
    <xf numFmtId="10" fontId="7" fillId="0" borderId="0" xfId="0" applyNumberFormat="1" applyFont="1" applyAlignment="1">
      <alignment horizontal="center" vertical="center"/>
    </xf>
    <xf numFmtId="9" fontId="7" fillId="0" borderId="0" xfId="1" applyFont="1" applyAlignment="1">
      <alignment horizontal="center" wrapText="1"/>
    </xf>
    <xf numFmtId="10" fontId="7" fillId="0" borderId="2" xfId="1" applyNumberFormat="1" applyFont="1" applyBorder="1" applyAlignment="1">
      <alignment horizontal="center" vertical="center" wrapText="1"/>
    </xf>
    <xf numFmtId="9" fontId="7" fillId="0" borderId="2" xfId="1" applyFont="1" applyBorder="1" applyAlignment="1">
      <alignment horizontal="center" wrapText="1"/>
    </xf>
    <xf numFmtId="10" fontId="7" fillId="0" borderId="2" xfId="0" applyNumberFormat="1" applyFont="1" applyBorder="1" applyAlignment="1">
      <alignment horizontal="center" vertical="center"/>
    </xf>
    <xf numFmtId="9" fontId="7" fillId="0" borderId="2" xfId="1" applyFont="1" applyBorder="1" applyAlignment="1">
      <alignment horizontal="center" vertical="center" wrapText="1"/>
    </xf>
    <xf numFmtId="10" fontId="8" fillId="5" borderId="1" xfId="0" applyNumberFormat="1" applyFont="1" applyFill="1" applyBorder="1" applyAlignment="1">
      <alignment horizontal="center" vertical="center"/>
    </xf>
    <xf numFmtId="10" fontId="7" fillId="0" borderId="1" xfId="0" applyNumberFormat="1" applyFont="1" applyBorder="1" applyAlignment="1">
      <alignment horizontal="center" vertical="center"/>
    </xf>
    <xf numFmtId="0" fontId="7" fillId="4" borderId="1" xfId="0" applyFont="1" applyFill="1" applyBorder="1" applyAlignment="1">
      <alignment horizontal="center" vertical="center" wrapText="1"/>
    </xf>
    <xf numFmtId="0" fontId="7" fillId="0" borderId="1" xfId="0" applyFont="1" applyBorder="1" applyAlignment="1">
      <alignment horizontal="center" vertical="center"/>
    </xf>
    <xf numFmtId="10" fontId="8" fillId="5" borderId="2" xfId="0" applyNumberFormat="1"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0" borderId="2" xfId="0" applyFont="1" applyBorder="1" applyAlignment="1">
      <alignment horizontal="center" vertical="center"/>
    </xf>
    <xf numFmtId="10" fontId="8" fillId="5" borderId="0" xfId="0" applyNumberFormat="1" applyFont="1" applyFill="1" applyAlignment="1">
      <alignment horizontal="center" vertical="center"/>
    </xf>
    <xf numFmtId="0" fontId="7" fillId="4" borderId="0" xfId="0" applyFont="1" applyFill="1" applyAlignment="1">
      <alignment horizontal="center" vertical="center" wrapText="1"/>
    </xf>
    <xf numFmtId="0" fontId="7" fillId="0" borderId="0" xfId="0" applyFont="1" applyAlignment="1">
      <alignment horizontal="center" vertical="center"/>
    </xf>
    <xf numFmtId="9" fontId="7" fillId="0" borderId="3" xfId="0" applyNumberFormat="1" applyFont="1" applyBorder="1" applyAlignment="1">
      <alignment horizontal="center" vertical="center"/>
    </xf>
    <xf numFmtId="164" fontId="7" fillId="0" borderId="1" xfId="0" applyNumberFormat="1" applyFont="1" applyBorder="1" applyAlignment="1">
      <alignment horizontal="center" vertical="center"/>
    </xf>
    <xf numFmtId="9" fontId="7" fillId="0" borderId="1" xfId="0" applyNumberFormat="1" applyFont="1" applyBorder="1" applyAlignment="1">
      <alignment horizontal="center" vertical="center"/>
    </xf>
    <xf numFmtId="9" fontId="7" fillId="0" borderId="2" xfId="0" applyNumberFormat="1" applyFont="1" applyBorder="1" applyAlignment="1">
      <alignment horizontal="center" vertical="center"/>
    </xf>
    <xf numFmtId="164" fontId="7" fillId="0" borderId="2" xfId="0" applyNumberFormat="1" applyFont="1" applyBorder="1" applyAlignment="1">
      <alignment horizontal="center" vertical="center"/>
    </xf>
    <xf numFmtId="0" fontId="8" fillId="4" borderId="3"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wrapText="1"/>
    </xf>
    <xf numFmtId="0" fontId="17" fillId="0" borderId="0" xfId="0" applyFont="1" applyAlignment="1">
      <alignment vertical="center" wrapText="1"/>
    </xf>
    <xf numFmtId="164" fontId="7" fillId="0" borderId="3" xfId="0" applyNumberFormat="1" applyFont="1" applyBorder="1" applyAlignment="1">
      <alignment horizontal="center" vertical="center"/>
    </xf>
    <xf numFmtId="10" fontId="18" fillId="0" borderId="0" xfId="0" applyNumberFormat="1" applyFont="1" applyAlignment="1">
      <alignment horizontal="center" vertical="center"/>
    </xf>
    <xf numFmtId="0" fontId="9" fillId="0" borderId="0" xfId="0" applyFont="1" applyAlignment="1">
      <alignment horizontal="center" vertical="center" wrapText="1"/>
    </xf>
    <xf numFmtId="9" fontId="18" fillId="0" borderId="0" xfId="1" applyFont="1" applyAlignment="1">
      <alignment horizontal="center" wrapText="1"/>
    </xf>
    <xf numFmtId="0" fontId="18" fillId="4" borderId="1" xfId="0" applyFont="1" applyFill="1" applyBorder="1" applyAlignment="1">
      <alignment horizontal="left" vertical="center" wrapText="1"/>
    </xf>
    <xf numFmtId="0" fontId="9" fillId="0" borderId="2" xfId="0" applyFont="1" applyBorder="1" applyAlignment="1">
      <alignment horizontal="center" vertical="center" wrapText="1"/>
    </xf>
    <xf numFmtId="10" fontId="18" fillId="0" borderId="2" xfId="1" applyNumberFormat="1" applyFont="1" applyBorder="1" applyAlignment="1">
      <alignment horizontal="center" vertical="center" wrapText="1"/>
    </xf>
    <xf numFmtId="9" fontId="18" fillId="0" borderId="2" xfId="1" applyFont="1" applyBorder="1" applyAlignment="1">
      <alignment horizontal="center" wrapText="1"/>
    </xf>
    <xf numFmtId="9" fontId="18" fillId="0" borderId="2" xfId="1" applyFont="1" applyBorder="1" applyAlignment="1">
      <alignment horizontal="center" vertical="center" wrapText="1"/>
    </xf>
    <xf numFmtId="0" fontId="9" fillId="0" borderId="3" xfId="0" applyFont="1" applyBorder="1" applyAlignment="1">
      <alignment horizontal="center" vertical="center" wrapText="1"/>
    </xf>
    <xf numFmtId="9" fontId="18" fillId="0" borderId="3" xfId="1" applyFont="1" applyBorder="1" applyAlignment="1">
      <alignment horizontal="center" wrapText="1"/>
    </xf>
    <xf numFmtId="10" fontId="9" fillId="5" borderId="1" xfId="0" applyNumberFormat="1" applyFont="1" applyFill="1" applyBorder="1" applyAlignment="1">
      <alignment horizontal="center" vertical="center"/>
    </xf>
    <xf numFmtId="10" fontId="18"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18" fillId="4" borderId="1" xfId="0" applyFont="1" applyFill="1" applyBorder="1" applyAlignment="1">
      <alignment horizontal="center" vertical="center" wrapText="1"/>
    </xf>
    <xf numFmtId="0" fontId="18" fillId="0" borderId="1" xfId="0" applyFont="1" applyBorder="1" applyAlignment="1">
      <alignment horizontal="center" vertical="center"/>
    </xf>
    <xf numFmtId="10" fontId="9" fillId="5" borderId="0" xfId="0" applyNumberFormat="1" applyFont="1" applyFill="1" applyAlignment="1">
      <alignment horizontal="center" vertical="center"/>
    </xf>
    <xf numFmtId="0" fontId="18" fillId="4" borderId="0" xfId="0" applyFont="1" applyFill="1" applyAlignment="1">
      <alignment horizontal="center" vertical="center" wrapText="1"/>
    </xf>
    <xf numFmtId="0" fontId="18" fillId="0" borderId="0" xfId="0" applyFont="1" applyAlignment="1">
      <alignment horizontal="center" vertical="center"/>
    </xf>
    <xf numFmtId="9" fontId="18" fillId="0" borderId="3" xfId="0" applyNumberFormat="1" applyFont="1" applyBorder="1" applyAlignment="1">
      <alignment horizontal="center" vertical="center"/>
    </xf>
    <xf numFmtId="164" fontId="18" fillId="0" borderId="3" xfId="0" applyNumberFormat="1" applyFont="1" applyBorder="1" applyAlignment="1">
      <alignment horizontal="center" vertical="center"/>
    </xf>
    <xf numFmtId="0" fontId="18" fillId="4" borderId="10" xfId="0" applyFont="1" applyFill="1" applyBorder="1" applyAlignment="1">
      <alignment horizontal="center" vertical="center" wrapText="1"/>
    </xf>
    <xf numFmtId="9" fontId="18" fillId="0" borderId="2" xfId="0" applyNumberFormat="1" applyFont="1" applyBorder="1" applyAlignment="1">
      <alignment horizontal="center" vertical="center"/>
    </xf>
    <xf numFmtId="164" fontId="18" fillId="0" borderId="2" xfId="0" applyNumberFormat="1" applyFont="1" applyBorder="1" applyAlignment="1">
      <alignment horizontal="center" vertical="center"/>
    </xf>
    <xf numFmtId="0" fontId="18"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5" borderId="1" xfId="0" applyFont="1" applyFill="1" applyBorder="1" applyAlignment="1">
      <alignment horizontal="center" vertical="center" wrapText="1"/>
    </xf>
    <xf numFmtId="9" fontId="18"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0" fillId="0" borderId="0" xfId="0" applyAlignment="1">
      <alignment horizontal="center"/>
    </xf>
    <xf numFmtId="9" fontId="7" fillId="0" borderId="3" xfId="1" applyFont="1" applyBorder="1" applyAlignment="1">
      <alignment horizontal="center" vertical="center" wrapText="1"/>
    </xf>
    <xf numFmtId="9" fontId="7" fillId="0" borderId="0" xfId="1" applyFont="1" applyAlignment="1">
      <alignment horizontal="center" vertical="center" wrapText="1"/>
    </xf>
    <xf numFmtId="0" fontId="7" fillId="0" borderId="0" xfId="0" applyFont="1" applyAlignment="1">
      <alignment vertical="center"/>
    </xf>
    <xf numFmtId="10" fontId="6" fillId="4" borderId="13" xfId="1" applyNumberFormat="1" applyFont="1" applyFill="1" applyBorder="1" applyAlignment="1">
      <alignment horizontal="center" vertical="center" wrapText="1"/>
    </xf>
    <xf numFmtId="10" fontId="10" fillId="3" borderId="13"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10" fontId="7" fillId="4" borderId="1" xfId="1" applyNumberFormat="1" applyFont="1" applyFill="1" applyBorder="1" applyAlignment="1">
      <alignment horizontal="center" vertical="center" wrapText="1"/>
    </xf>
    <xf numFmtId="0" fontId="20" fillId="7" borderId="1" xfId="0" applyFont="1" applyFill="1" applyBorder="1" applyAlignment="1">
      <alignment horizontal="center" vertical="center" wrapText="1"/>
    </xf>
    <xf numFmtId="10" fontId="6" fillId="4" borderId="21" xfId="1" applyNumberFormat="1" applyFont="1" applyFill="1" applyBorder="1" applyAlignment="1">
      <alignment horizontal="center" vertical="center" wrapText="1"/>
    </xf>
    <xf numFmtId="10" fontId="6" fillId="4" borderId="14" xfId="1" applyNumberFormat="1"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0" borderId="3" xfId="0" applyFont="1" applyBorder="1" applyAlignment="1">
      <alignment horizontal="center" vertical="center" wrapText="1"/>
    </xf>
    <xf numFmtId="0" fontId="11" fillId="0" borderId="2" xfId="0" applyFont="1" applyBorder="1" applyAlignment="1">
      <alignment horizontal="center" vertical="center" wrapText="1"/>
    </xf>
    <xf numFmtId="10" fontId="6" fillId="4" borderId="8" xfId="1" applyNumberFormat="1" applyFont="1" applyFill="1" applyBorder="1" applyAlignment="1">
      <alignment horizontal="center" vertical="center" wrapText="1"/>
    </xf>
    <xf numFmtId="10" fontId="10" fillId="3" borderId="16" xfId="0" applyNumberFormat="1" applyFont="1" applyFill="1" applyBorder="1" applyAlignment="1">
      <alignment horizontal="center" vertical="center" wrapText="1"/>
    </xf>
    <xf numFmtId="10" fontId="6" fillId="4" borderId="18" xfId="1" applyNumberFormat="1" applyFont="1" applyFill="1" applyBorder="1" applyAlignment="1">
      <alignment horizontal="center" vertical="center" wrapText="1"/>
    </xf>
    <xf numFmtId="10" fontId="10" fillId="3" borderId="8" xfId="0" applyNumberFormat="1" applyFont="1" applyFill="1" applyBorder="1" applyAlignment="1">
      <alignment horizontal="center" vertical="center" wrapText="1"/>
    </xf>
    <xf numFmtId="10" fontId="10" fillId="3" borderId="17" xfId="0" applyNumberFormat="1" applyFont="1" applyFill="1" applyBorder="1" applyAlignment="1">
      <alignment horizontal="center" vertical="center" wrapText="1"/>
    </xf>
    <xf numFmtId="10" fontId="6" fillId="4" borderId="26" xfId="1" applyNumberFormat="1" applyFont="1" applyFill="1" applyBorder="1" applyAlignment="1">
      <alignment horizontal="center" vertical="center" wrapText="1"/>
    </xf>
    <xf numFmtId="0" fontId="0" fillId="0" borderId="0" xfId="0" applyAlignment="1">
      <alignment vertical="center"/>
    </xf>
    <xf numFmtId="10" fontId="6" fillId="4" borderId="22" xfId="1" applyNumberFormat="1" applyFont="1" applyFill="1" applyBorder="1" applyAlignment="1">
      <alignment horizontal="center" vertical="center" wrapText="1"/>
    </xf>
    <xf numFmtId="10" fontId="10" fillId="3" borderId="39" xfId="0" applyNumberFormat="1" applyFont="1" applyFill="1" applyBorder="1" applyAlignment="1">
      <alignment horizontal="center" vertical="center" wrapText="1"/>
    </xf>
    <xf numFmtId="10" fontId="6" fillId="4" borderId="40" xfId="1" applyNumberFormat="1" applyFont="1" applyFill="1" applyBorder="1" applyAlignment="1">
      <alignment horizontal="center" vertical="center" wrapText="1"/>
    </xf>
    <xf numFmtId="10" fontId="10" fillId="3" borderId="40" xfId="0" applyNumberFormat="1" applyFont="1" applyFill="1" applyBorder="1" applyAlignment="1">
      <alignment horizontal="center" vertical="center" wrapText="1"/>
    </xf>
    <xf numFmtId="10" fontId="6" fillId="3" borderId="41" xfId="1" applyNumberFormat="1" applyFont="1" applyFill="1" applyBorder="1" applyAlignment="1">
      <alignment horizontal="center" vertical="center" wrapText="1"/>
    </xf>
    <xf numFmtId="10" fontId="6" fillId="4" borderId="41" xfId="1" applyNumberFormat="1" applyFont="1" applyFill="1" applyBorder="1" applyAlignment="1">
      <alignment horizontal="center" vertical="center" wrapText="1"/>
    </xf>
    <xf numFmtId="10" fontId="10" fillId="3" borderId="43" xfId="0" applyNumberFormat="1" applyFont="1" applyFill="1" applyBorder="1" applyAlignment="1">
      <alignment horizontal="center" vertical="center" wrapText="1"/>
    </xf>
    <xf numFmtId="10" fontId="6" fillId="4" borderId="44" xfId="1" applyNumberFormat="1" applyFont="1" applyFill="1" applyBorder="1" applyAlignment="1">
      <alignment horizontal="center" vertical="center" wrapText="1"/>
    </xf>
    <xf numFmtId="10" fontId="10" fillId="3" borderId="44" xfId="0" applyNumberFormat="1" applyFont="1" applyFill="1" applyBorder="1" applyAlignment="1">
      <alignment horizontal="center" vertical="center" wrapText="1"/>
    </xf>
    <xf numFmtId="10" fontId="6" fillId="3" borderId="45" xfId="1" applyNumberFormat="1" applyFont="1" applyFill="1" applyBorder="1" applyAlignment="1">
      <alignment horizontal="center" vertical="center" wrapText="1"/>
    </xf>
    <xf numFmtId="10" fontId="6" fillId="4" borderId="45" xfId="1" applyNumberFormat="1" applyFont="1" applyFill="1" applyBorder="1" applyAlignment="1">
      <alignment horizontal="center" vertical="center" wrapText="1"/>
    </xf>
    <xf numFmtId="10" fontId="10" fillId="3" borderId="1" xfId="0" applyNumberFormat="1" applyFont="1" applyFill="1" applyBorder="1" applyAlignment="1">
      <alignment horizontal="center" vertical="center" wrapText="1"/>
    </xf>
    <xf numFmtId="10" fontId="6" fillId="4" borderId="46" xfId="1" applyNumberFormat="1" applyFont="1" applyFill="1" applyBorder="1" applyAlignment="1">
      <alignment horizontal="center" vertical="center" wrapText="1"/>
    </xf>
    <xf numFmtId="10" fontId="10" fillId="3" borderId="45" xfId="0" applyNumberFormat="1" applyFont="1" applyFill="1" applyBorder="1" applyAlignment="1">
      <alignment horizontal="center" vertical="center" wrapText="1"/>
    </xf>
    <xf numFmtId="9" fontId="7" fillId="0" borderId="0" xfId="0" applyNumberFormat="1" applyFont="1" applyAlignment="1">
      <alignment horizontal="center" vertical="center"/>
    </xf>
    <xf numFmtId="10" fontId="8" fillId="5" borderId="1" xfId="0" applyNumberFormat="1" applyFont="1" applyFill="1" applyBorder="1" applyAlignment="1">
      <alignment horizontal="center" vertical="center" wrapText="1"/>
    </xf>
    <xf numFmtId="10" fontId="6" fillId="4" borderId="11" xfId="1" applyNumberFormat="1" applyFont="1" applyFill="1" applyBorder="1" applyAlignment="1">
      <alignment horizontal="center" vertical="center" wrapText="1"/>
    </xf>
    <xf numFmtId="10" fontId="6" fillId="4" borderId="48" xfId="1" applyNumberFormat="1" applyFont="1" applyFill="1" applyBorder="1" applyAlignment="1">
      <alignment horizontal="center" vertical="center" wrapText="1"/>
    </xf>
    <xf numFmtId="10" fontId="10" fillId="3" borderId="50" xfId="0" applyNumberFormat="1" applyFont="1" applyFill="1" applyBorder="1" applyAlignment="1">
      <alignment horizontal="center" vertical="center" wrapText="1"/>
    </xf>
    <xf numFmtId="10" fontId="10" fillId="3" borderId="11" xfId="0" applyNumberFormat="1" applyFont="1" applyFill="1" applyBorder="1" applyAlignment="1">
      <alignment horizontal="center" vertical="center" wrapText="1"/>
    </xf>
    <xf numFmtId="0" fontId="12" fillId="3" borderId="1" xfId="1" applyNumberFormat="1" applyFont="1" applyFill="1" applyBorder="1" applyAlignment="1">
      <alignment vertical="center" wrapText="1"/>
    </xf>
    <xf numFmtId="10" fontId="6" fillId="4" borderId="1" xfId="1" applyNumberFormat="1" applyFont="1" applyFill="1" applyBorder="1" applyAlignment="1">
      <alignment horizontal="center" vertical="center" wrapText="1"/>
    </xf>
    <xf numFmtId="0" fontId="8" fillId="4" borderId="0" xfId="0" applyFont="1" applyFill="1" applyAlignment="1">
      <alignment horizontal="center" vertical="center" wrapText="1"/>
    </xf>
    <xf numFmtId="0" fontId="12" fillId="3" borderId="49" xfId="1" applyNumberFormat="1" applyFont="1" applyFill="1" applyBorder="1" applyAlignment="1">
      <alignment horizontal="left" vertical="center" wrapText="1" indent="1"/>
    </xf>
    <xf numFmtId="10" fontId="6" fillId="4" borderId="16" xfId="1" applyNumberFormat="1" applyFont="1" applyFill="1" applyBorder="1" applyAlignment="1">
      <alignment horizontal="center" vertical="center" wrapText="1"/>
    </xf>
    <xf numFmtId="10" fontId="6" fillId="4" borderId="6" xfId="1" applyNumberFormat="1" applyFont="1" applyFill="1" applyBorder="1" applyAlignment="1">
      <alignment horizontal="center" vertical="center" wrapText="1"/>
    </xf>
    <xf numFmtId="10" fontId="10" fillId="3" borderId="20" xfId="0" applyNumberFormat="1" applyFont="1" applyFill="1" applyBorder="1" applyAlignment="1">
      <alignment horizontal="center" vertical="center" wrapText="1"/>
    </xf>
    <xf numFmtId="10" fontId="10" fillId="3" borderId="6" xfId="0" applyNumberFormat="1" applyFont="1" applyFill="1" applyBorder="1" applyAlignment="1">
      <alignment horizontal="center" vertical="center" wrapText="1"/>
    </xf>
    <xf numFmtId="10" fontId="10" fillId="3" borderId="37" xfId="0" applyNumberFormat="1" applyFont="1" applyFill="1" applyBorder="1" applyAlignment="1">
      <alignment horizontal="center" vertical="center" wrapText="1"/>
    </xf>
    <xf numFmtId="10" fontId="10" fillId="3" borderId="36" xfId="0" applyNumberFormat="1" applyFont="1" applyFill="1" applyBorder="1" applyAlignment="1">
      <alignment horizontal="center" vertical="center" wrapText="1"/>
    </xf>
    <xf numFmtId="10" fontId="6" fillId="4" borderId="25" xfId="1" applyNumberFormat="1" applyFont="1" applyFill="1" applyBorder="1" applyAlignment="1">
      <alignment horizontal="center" vertical="center" wrapText="1"/>
    </xf>
    <xf numFmtId="10" fontId="6" fillId="4" borderId="52" xfId="1" applyNumberFormat="1" applyFont="1" applyFill="1" applyBorder="1" applyAlignment="1">
      <alignment horizontal="center" vertical="center" wrapText="1"/>
    </xf>
    <xf numFmtId="10" fontId="10" fillId="3" borderId="22" xfId="0" applyNumberFormat="1" applyFont="1" applyFill="1" applyBorder="1" applyAlignment="1">
      <alignment horizontal="center" vertical="center" wrapText="1" indent="1"/>
    </xf>
    <xf numFmtId="10" fontId="6" fillId="4" borderId="22" xfId="1" applyNumberFormat="1" applyFont="1" applyFill="1" applyBorder="1" applyAlignment="1">
      <alignment horizontal="center" vertical="center" wrapText="1" indent="1"/>
    </xf>
    <xf numFmtId="10" fontId="10" fillId="3" borderId="22" xfId="0" applyNumberFormat="1" applyFont="1" applyFill="1" applyBorder="1" applyAlignment="1">
      <alignment horizontal="center" vertical="center" wrapText="1"/>
    </xf>
    <xf numFmtId="10" fontId="23" fillId="8" borderId="4" xfId="0" applyNumberFormat="1" applyFont="1" applyFill="1" applyBorder="1" applyAlignment="1">
      <alignment horizontal="center" vertical="center" wrapText="1"/>
    </xf>
    <xf numFmtId="10" fontId="10" fillId="3" borderId="3" xfId="0" applyNumberFormat="1" applyFont="1" applyFill="1" applyBorder="1" applyAlignment="1">
      <alignment horizontal="center" vertical="center" wrapText="1"/>
    </xf>
    <xf numFmtId="10" fontId="6" fillId="4" borderId="53" xfId="1" applyNumberFormat="1" applyFont="1" applyFill="1" applyBorder="1" applyAlignment="1">
      <alignment horizontal="center" vertical="center" wrapText="1"/>
    </xf>
    <xf numFmtId="10" fontId="10" fillId="3" borderId="33" xfId="0" applyNumberFormat="1" applyFont="1" applyFill="1" applyBorder="1" applyAlignment="1">
      <alignment horizontal="center" vertical="center" wrapText="1"/>
    </xf>
    <xf numFmtId="10" fontId="23" fillId="8" borderId="8" xfId="0" applyNumberFormat="1" applyFont="1" applyFill="1" applyBorder="1" applyAlignment="1">
      <alignment horizontal="center" vertical="center" wrapText="1"/>
    </xf>
    <xf numFmtId="10" fontId="6" fillId="4" borderId="39" xfId="1" applyNumberFormat="1" applyFont="1" applyFill="1" applyBorder="1" applyAlignment="1">
      <alignment horizontal="center" vertical="center" wrapText="1"/>
    </xf>
    <xf numFmtId="10" fontId="10" fillId="3" borderId="37" xfId="0" applyNumberFormat="1" applyFont="1" applyFill="1" applyBorder="1" applyAlignment="1">
      <alignment horizontal="center" vertical="center" wrapText="1" indent="2"/>
    </xf>
    <xf numFmtId="10" fontId="6" fillId="4" borderId="44" xfId="1" applyNumberFormat="1" applyFont="1" applyFill="1" applyBorder="1" applyAlignment="1">
      <alignment horizontal="center" vertical="center" wrapText="1" indent="1"/>
    </xf>
    <xf numFmtId="10" fontId="10" fillId="3" borderId="4" xfId="0" applyNumberFormat="1" applyFont="1" applyFill="1" applyBorder="1" applyAlignment="1">
      <alignment horizontal="center" vertical="center" wrapText="1" indent="1"/>
    </xf>
    <xf numFmtId="10" fontId="24" fillId="3" borderId="45" xfId="1" applyNumberFormat="1" applyFont="1" applyFill="1" applyBorder="1" applyAlignment="1">
      <alignment horizontal="center" vertical="center" wrapText="1" indent="1"/>
    </xf>
    <xf numFmtId="10" fontId="6" fillId="4" borderId="40" xfId="1" applyNumberFormat="1" applyFont="1" applyFill="1" applyBorder="1" applyAlignment="1">
      <alignment horizontal="center" vertical="center" wrapText="1" indent="1"/>
    </xf>
    <xf numFmtId="10" fontId="23" fillId="8" borderId="4" xfId="0" applyNumberFormat="1" applyFont="1" applyFill="1" applyBorder="1" applyAlignment="1">
      <alignment horizontal="center" vertical="center" wrapText="1" indent="1"/>
    </xf>
    <xf numFmtId="10" fontId="24" fillId="3" borderId="45" xfId="1" applyNumberFormat="1" applyFont="1" applyFill="1" applyBorder="1" applyAlignment="1">
      <alignment horizontal="center" vertical="center" wrapText="1"/>
    </xf>
    <xf numFmtId="10" fontId="10" fillId="3" borderId="36" xfId="0" applyNumberFormat="1" applyFont="1" applyFill="1" applyBorder="1" applyAlignment="1">
      <alignment horizontal="center" vertical="center" wrapText="1" indent="2"/>
    </xf>
    <xf numFmtId="10" fontId="10" fillId="3" borderId="16" xfId="0" applyNumberFormat="1" applyFont="1" applyFill="1" applyBorder="1" applyAlignment="1">
      <alignment horizontal="center" vertical="center" wrapText="1" indent="2"/>
    </xf>
    <xf numFmtId="0" fontId="19" fillId="8" borderId="6" xfId="0" applyFont="1" applyFill="1" applyBorder="1" applyAlignment="1">
      <alignment horizontal="left" vertical="center" wrapText="1" indent="3"/>
    </xf>
    <xf numFmtId="10" fontId="24" fillId="3" borderId="41" xfId="1" applyNumberFormat="1" applyFont="1" applyFill="1" applyBorder="1" applyAlignment="1">
      <alignment horizontal="center" vertical="center" wrapText="1"/>
    </xf>
    <xf numFmtId="10" fontId="10" fillId="3" borderId="37" xfId="0" applyNumberFormat="1" applyFont="1" applyFill="1" applyBorder="1" applyAlignment="1">
      <alignment horizontal="center" vertical="center" wrapText="1" indent="1"/>
    </xf>
    <xf numFmtId="10" fontId="6" fillId="4" borderId="43" xfId="1" applyNumberFormat="1" applyFont="1" applyFill="1" applyBorder="1" applyAlignment="1">
      <alignment horizontal="center" vertical="center" wrapText="1"/>
    </xf>
    <xf numFmtId="9" fontId="1" fillId="0" borderId="3" xfId="1" applyBorder="1" applyAlignment="1">
      <alignment horizontal="center" vertical="center" wrapText="1"/>
    </xf>
    <xf numFmtId="9" fontId="1" fillId="0" borderId="0" xfId="1" applyAlignment="1">
      <alignment horizontal="center" vertical="center" wrapText="1"/>
    </xf>
    <xf numFmtId="0" fontId="19" fillId="8" borderId="4" xfId="0" applyFont="1" applyFill="1" applyBorder="1" applyAlignment="1">
      <alignment vertical="center" wrapText="1"/>
    </xf>
    <xf numFmtId="0" fontId="21" fillId="8" borderId="4" xfId="0" applyFont="1" applyFill="1" applyBorder="1" applyAlignment="1">
      <alignment horizontal="left" vertical="center" wrapText="1"/>
    </xf>
    <xf numFmtId="0" fontId="7" fillId="3" borderId="28" xfId="1" applyNumberFormat="1" applyFont="1" applyFill="1" applyBorder="1" applyAlignment="1">
      <alignment horizontal="left" vertical="center" wrapText="1"/>
    </xf>
    <xf numFmtId="0" fontId="21" fillId="8" borderId="28" xfId="0" applyFont="1" applyFill="1" applyBorder="1" applyAlignment="1">
      <alignment vertical="center" wrapText="1"/>
    </xf>
    <xf numFmtId="0" fontId="0" fillId="3" borderId="42" xfId="1" applyNumberFormat="1" applyFont="1" applyFill="1" applyBorder="1" applyAlignment="1">
      <alignment horizontal="left" vertical="center" wrapText="1"/>
    </xf>
    <xf numFmtId="0" fontId="21" fillId="8" borderId="6" xfId="0" applyFont="1" applyFill="1" applyBorder="1" applyAlignment="1">
      <alignment horizontal="left" vertical="center" wrapText="1"/>
    </xf>
    <xf numFmtId="0" fontId="18" fillId="0" borderId="0" xfId="0" applyFont="1" applyAlignment="1">
      <alignment vertical="center"/>
    </xf>
    <xf numFmtId="0" fontId="26" fillId="8" borderId="8" xfId="0" applyFont="1" applyFill="1" applyBorder="1" applyAlignment="1">
      <alignment vertical="center" wrapText="1"/>
    </xf>
    <xf numFmtId="0" fontId="26" fillId="8" borderId="6" xfId="0" applyFont="1" applyFill="1" applyBorder="1" applyAlignment="1">
      <alignment vertical="center" wrapText="1"/>
    </xf>
    <xf numFmtId="0" fontId="25" fillId="3" borderId="1" xfId="1" applyNumberFormat="1" applyFont="1" applyFill="1" applyBorder="1" applyAlignment="1">
      <alignment vertical="center" wrapText="1"/>
    </xf>
    <xf numFmtId="0" fontId="26" fillId="8" borderId="4" xfId="0" applyFont="1" applyFill="1" applyBorder="1" applyAlignment="1">
      <alignment vertical="center" wrapText="1"/>
    </xf>
    <xf numFmtId="0" fontId="4" fillId="0" borderId="0" xfId="0" applyFont="1" applyAlignment="1">
      <alignment vertical="center"/>
    </xf>
    <xf numFmtId="0" fontId="28" fillId="8" borderId="8" xfId="0" applyFont="1" applyFill="1" applyBorder="1" applyAlignment="1">
      <alignment vertical="center" wrapText="1"/>
    </xf>
    <xf numFmtId="0" fontId="29" fillId="3" borderId="1" xfId="1" applyNumberFormat="1" applyFont="1" applyFill="1" applyBorder="1" applyAlignment="1">
      <alignment vertical="center" wrapText="1"/>
    </xf>
    <xf numFmtId="0" fontId="28" fillId="8" borderId="4" xfId="0" applyFont="1" applyFill="1" applyBorder="1" applyAlignment="1">
      <alignment vertical="center" wrapText="1"/>
    </xf>
    <xf numFmtId="0" fontId="29" fillId="3" borderId="49" xfId="1" applyNumberFormat="1" applyFont="1" applyFill="1" applyBorder="1" applyAlignment="1">
      <alignment vertical="center" wrapText="1"/>
    </xf>
    <xf numFmtId="0" fontId="4" fillId="3" borderId="45" xfId="1" applyNumberFormat="1" applyFont="1" applyFill="1" applyBorder="1" applyAlignment="1">
      <alignment vertical="center" wrapText="1"/>
    </xf>
    <xf numFmtId="0" fontId="16" fillId="3" borderId="49" xfId="1" applyNumberFormat="1" applyFont="1" applyFill="1" applyBorder="1" applyAlignment="1">
      <alignment horizontal="left" vertical="center" wrapText="1"/>
    </xf>
    <xf numFmtId="0" fontId="25" fillId="3" borderId="49" xfId="1" applyNumberFormat="1" applyFont="1" applyFill="1" applyBorder="1" applyAlignment="1">
      <alignment horizontal="left" vertical="center" wrapText="1"/>
    </xf>
    <xf numFmtId="0" fontId="29" fillId="3" borderId="28" xfId="1" applyNumberFormat="1" applyFont="1" applyFill="1" applyBorder="1" applyAlignment="1">
      <alignment horizontal="left" vertical="center" wrapText="1"/>
    </xf>
    <xf numFmtId="0" fontId="29" fillId="3" borderId="49" xfId="1" applyNumberFormat="1" applyFont="1" applyFill="1" applyBorder="1" applyAlignment="1">
      <alignment horizontal="left" vertical="center" wrapText="1"/>
    </xf>
    <xf numFmtId="0" fontId="25" fillId="3" borderId="45" xfId="1" applyNumberFormat="1" applyFont="1" applyFill="1" applyBorder="1" applyAlignment="1">
      <alignment horizontal="left" vertical="center" wrapText="1"/>
    </xf>
    <xf numFmtId="0" fontId="17" fillId="0" borderId="0" xfId="0" applyFont="1" applyAlignment="1">
      <alignment vertical="center"/>
    </xf>
    <xf numFmtId="0" fontId="31" fillId="3" borderId="1" xfId="1" applyNumberFormat="1" applyFont="1" applyFill="1" applyBorder="1" applyAlignment="1">
      <alignment vertical="center" wrapText="1"/>
    </xf>
    <xf numFmtId="10" fontId="6" fillId="4" borderId="45" xfId="1" applyNumberFormat="1" applyFont="1" applyFill="1" applyBorder="1" applyAlignment="1">
      <alignment horizontal="center" vertical="center" wrapText="1" indent="1"/>
    </xf>
    <xf numFmtId="0" fontId="31" fillId="3" borderId="57" xfId="1" applyNumberFormat="1" applyFont="1" applyFill="1" applyBorder="1" applyAlignment="1">
      <alignment horizontal="left" vertical="center" wrapText="1"/>
    </xf>
    <xf numFmtId="0" fontId="32" fillId="8" borderId="16" xfId="0" applyFont="1" applyFill="1" applyBorder="1" applyAlignment="1">
      <alignment vertical="center" wrapText="1"/>
    </xf>
    <xf numFmtId="0" fontId="31" fillId="3" borderId="1" xfId="1" applyNumberFormat="1" applyFont="1" applyFill="1" applyBorder="1" applyAlignment="1">
      <alignment horizontal="left" vertical="center" wrapText="1"/>
    </xf>
    <xf numFmtId="10" fontId="6" fillId="4" borderId="58" xfId="1" applyNumberFormat="1" applyFont="1" applyFill="1" applyBorder="1" applyAlignment="1">
      <alignment horizontal="center" vertical="center" wrapText="1"/>
    </xf>
    <xf numFmtId="10" fontId="6" fillId="4" borderId="60" xfId="1" applyNumberFormat="1" applyFont="1" applyFill="1" applyBorder="1" applyAlignment="1">
      <alignment horizontal="center" vertical="center" wrapText="1"/>
    </xf>
    <xf numFmtId="10" fontId="6" fillId="4" borderId="62" xfId="1" applyNumberFormat="1" applyFont="1" applyFill="1" applyBorder="1" applyAlignment="1">
      <alignment horizontal="center" vertical="center" wrapText="1"/>
    </xf>
    <xf numFmtId="0" fontId="7" fillId="3" borderId="42" xfId="1" applyNumberFormat="1" applyFont="1" applyFill="1" applyBorder="1" applyAlignment="1">
      <alignment horizontal="left" vertical="center" wrapText="1"/>
    </xf>
    <xf numFmtId="0" fontId="16" fillId="3" borderId="29" xfId="1" applyNumberFormat="1" applyFont="1" applyFill="1" applyBorder="1" applyAlignment="1">
      <alignment vertical="center" wrapText="1"/>
    </xf>
    <xf numFmtId="0" fontId="7" fillId="0" borderId="0" xfId="0" applyFont="1" applyAlignment="1">
      <alignment horizontal="left" vertical="center"/>
    </xf>
    <xf numFmtId="0" fontId="16" fillId="3" borderId="29" xfId="1" applyNumberFormat="1" applyFont="1" applyFill="1" applyBorder="1" applyAlignment="1">
      <alignment horizontal="left" vertical="center" wrapText="1"/>
    </xf>
    <xf numFmtId="0" fontId="16" fillId="3" borderId="1" xfId="1" applyNumberFormat="1" applyFont="1" applyFill="1" applyBorder="1" applyAlignment="1">
      <alignment horizontal="left" vertical="center" wrapText="1"/>
    </xf>
    <xf numFmtId="10" fontId="10" fillId="3" borderId="41" xfId="1" applyNumberFormat="1" applyFont="1" applyFill="1" applyBorder="1" applyAlignment="1">
      <alignment horizontal="center" vertical="center" wrapText="1"/>
    </xf>
    <xf numFmtId="10" fontId="33" fillId="8" borderId="4" xfId="0" applyNumberFormat="1" applyFont="1" applyFill="1" applyBorder="1" applyAlignment="1">
      <alignment horizontal="center" vertical="center" wrapText="1" indent="1"/>
    </xf>
    <xf numFmtId="10" fontId="10" fillId="3" borderId="45" xfId="1" applyNumberFormat="1" applyFont="1" applyFill="1" applyBorder="1" applyAlignment="1">
      <alignment horizontal="center" vertical="center" wrapText="1"/>
    </xf>
    <xf numFmtId="0" fontId="26" fillId="8" borderId="6" xfId="0" applyFont="1" applyFill="1" applyBorder="1" applyAlignment="1">
      <alignment horizontal="left" vertical="center" wrapText="1" indent="2"/>
    </xf>
    <xf numFmtId="0" fontId="26" fillId="8" borderId="4" xfId="0" applyFont="1" applyFill="1" applyBorder="1" applyAlignment="1">
      <alignment horizontal="left" vertical="center" wrapText="1" indent="1"/>
    </xf>
    <xf numFmtId="0" fontId="25" fillId="3" borderId="49" xfId="1" applyNumberFormat="1" applyFont="1" applyFill="1" applyBorder="1" applyAlignment="1">
      <alignment horizontal="left" vertical="center" wrapText="1" indent="1"/>
    </xf>
    <xf numFmtId="0" fontId="18" fillId="0" borderId="0" xfId="0" applyFont="1"/>
    <xf numFmtId="0" fontId="18" fillId="3" borderId="42" xfId="1" applyNumberFormat="1" applyFont="1" applyFill="1" applyBorder="1" applyAlignment="1">
      <alignment horizontal="left" vertical="center" wrapText="1"/>
    </xf>
    <xf numFmtId="0" fontId="18" fillId="0" borderId="0" xfId="0" applyFont="1" applyAlignment="1">
      <alignment horizontal="left"/>
    </xf>
    <xf numFmtId="0" fontId="25" fillId="3" borderId="1" xfId="1" applyNumberFormat="1" applyFont="1" applyFill="1" applyBorder="1" applyAlignment="1">
      <alignment horizontal="left" vertical="center" wrapText="1"/>
    </xf>
    <xf numFmtId="0" fontId="26" fillId="8" borderId="4" xfId="0" applyFont="1" applyFill="1" applyBorder="1" applyAlignment="1">
      <alignment horizontal="left" vertical="center" wrapText="1"/>
    </xf>
    <xf numFmtId="0" fontId="18" fillId="3" borderId="28" xfId="1" applyNumberFormat="1" applyFont="1" applyFill="1" applyBorder="1" applyAlignment="1">
      <alignment horizontal="left" vertical="center" wrapText="1"/>
    </xf>
    <xf numFmtId="0" fontId="26" fillId="8" borderId="6" xfId="0" applyFont="1" applyFill="1" applyBorder="1" applyAlignment="1">
      <alignment horizontal="left" vertical="center" wrapText="1"/>
    </xf>
    <xf numFmtId="0" fontId="18" fillId="0" borderId="0" xfId="0" applyFont="1" applyAlignment="1">
      <alignment horizontal="left" vertical="center" wrapText="1"/>
    </xf>
    <xf numFmtId="0" fontId="25" fillId="3" borderId="29" xfId="1" applyNumberFormat="1" applyFont="1" applyFill="1" applyBorder="1" applyAlignment="1">
      <alignment horizontal="left" vertical="center" wrapText="1"/>
    </xf>
    <xf numFmtId="0" fontId="18" fillId="3" borderId="45" xfId="1" applyNumberFormat="1" applyFont="1" applyFill="1" applyBorder="1" applyAlignment="1">
      <alignment horizontal="left" vertical="center" wrapText="1"/>
    </xf>
    <xf numFmtId="0" fontId="7" fillId="3" borderId="31" xfId="1" applyNumberFormat="1" applyFont="1" applyFill="1" applyBorder="1" applyAlignment="1">
      <alignment horizontal="left" vertical="center" wrapText="1"/>
    </xf>
    <xf numFmtId="0" fontId="21" fillId="8" borderId="31" xfId="0" applyFont="1" applyFill="1" applyBorder="1" applyAlignment="1">
      <alignment vertical="center" wrapText="1"/>
    </xf>
    <xf numFmtId="0" fontId="22" fillId="3" borderId="32" xfId="1" applyNumberFormat="1" applyFont="1" applyFill="1" applyBorder="1" applyAlignment="1">
      <alignment horizontal="left" vertical="center" wrapText="1"/>
    </xf>
    <xf numFmtId="0" fontId="7" fillId="4" borderId="3" xfId="0" applyFont="1" applyFill="1" applyBorder="1" applyAlignment="1">
      <alignment horizontal="center" vertical="center" wrapText="1"/>
    </xf>
    <xf numFmtId="10" fontId="30" fillId="2" borderId="0" xfId="1" applyNumberFormat="1" applyFont="1" applyFill="1" applyAlignment="1">
      <alignment horizontal="center" vertical="center" wrapText="1"/>
    </xf>
    <xf numFmtId="0" fontId="17" fillId="3" borderId="7" xfId="1" applyNumberFormat="1" applyFont="1" applyFill="1" applyBorder="1" applyAlignment="1">
      <alignment horizontal="left" vertical="center" wrapText="1"/>
    </xf>
    <xf numFmtId="0" fontId="0" fillId="3" borderId="0" xfId="0" applyFill="1" applyAlignment="1">
      <alignment vertical="center" wrapText="1"/>
    </xf>
    <xf numFmtId="0" fontId="18" fillId="4" borderId="3"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8" fillId="0" borderId="0" xfId="0" applyFont="1" applyAlignment="1">
      <alignment horizontal="center" wrapText="1"/>
    </xf>
    <xf numFmtId="0" fontId="18" fillId="0" borderId="0" xfId="0" applyFont="1" applyAlignment="1">
      <alignment wrapText="1"/>
    </xf>
    <xf numFmtId="10" fontId="10" fillId="3" borderId="12" xfId="1" applyNumberFormat="1" applyFont="1" applyFill="1" applyBorder="1" applyAlignment="1">
      <alignment horizontal="center" vertical="center" wrapText="1" indent="1"/>
    </xf>
    <xf numFmtId="10" fontId="10" fillId="3" borderId="4" xfId="1" applyNumberFormat="1" applyFont="1" applyFill="1" applyBorder="1" applyAlignment="1">
      <alignment horizontal="center" vertical="center" wrapText="1" indent="1"/>
    </xf>
    <xf numFmtId="0" fontId="25" fillId="3" borderId="3" xfId="1" applyNumberFormat="1" applyFont="1" applyFill="1" applyBorder="1" applyAlignment="1">
      <alignment horizontal="left" vertical="center" wrapText="1"/>
    </xf>
    <xf numFmtId="0" fontId="18" fillId="0" borderId="0" xfId="0" applyFont="1" applyAlignment="1">
      <alignment horizontal="left" vertical="center"/>
    </xf>
    <xf numFmtId="0" fontId="18" fillId="3" borderId="7" xfId="1" applyNumberFormat="1" applyFont="1" applyFill="1" applyBorder="1" applyAlignment="1">
      <alignment horizontal="left" vertical="center" wrapText="1"/>
    </xf>
    <xf numFmtId="0" fontId="26" fillId="8" borderId="20" xfId="0" applyFont="1" applyFill="1" applyBorder="1" applyAlignment="1">
      <alignment horizontal="left" vertical="center" wrapText="1" indent="2"/>
    </xf>
    <xf numFmtId="0" fontId="26" fillId="8" borderId="16" xfId="0" applyFont="1" applyFill="1" applyBorder="1" applyAlignment="1">
      <alignment horizontal="left" vertical="center" wrapText="1"/>
    </xf>
    <xf numFmtId="0" fontId="25" fillId="3" borderId="1" xfId="1" applyNumberFormat="1" applyFont="1" applyFill="1" applyBorder="1" applyAlignment="1">
      <alignment horizontal="left" vertical="center" wrapText="1" indent="1"/>
    </xf>
    <xf numFmtId="10" fontId="10" fillId="3" borderId="69" xfId="0" applyNumberFormat="1" applyFont="1" applyFill="1" applyBorder="1" applyAlignment="1">
      <alignment horizontal="center" vertical="center" wrapText="1"/>
    </xf>
    <xf numFmtId="10" fontId="10" fillId="3" borderId="70" xfId="0" applyNumberFormat="1" applyFont="1" applyFill="1" applyBorder="1" applyAlignment="1">
      <alignment horizontal="center" vertical="center" wrapText="1"/>
    </xf>
    <xf numFmtId="10" fontId="6" fillId="4" borderId="71" xfId="1" applyNumberFormat="1" applyFont="1" applyFill="1" applyBorder="1" applyAlignment="1">
      <alignment horizontal="center" vertical="center" wrapText="1"/>
    </xf>
    <xf numFmtId="10" fontId="10" fillId="3" borderId="72" xfId="0" applyNumberFormat="1" applyFont="1" applyFill="1" applyBorder="1" applyAlignment="1">
      <alignment horizontal="center" vertical="center" wrapText="1" indent="1"/>
    </xf>
    <xf numFmtId="10" fontId="6" fillId="4" borderId="74" xfId="1" applyNumberFormat="1" applyFont="1" applyFill="1" applyBorder="1" applyAlignment="1">
      <alignment horizontal="center" vertical="center" wrapText="1"/>
    </xf>
    <xf numFmtId="10" fontId="10" fillId="3" borderId="75" xfId="0" applyNumberFormat="1" applyFont="1" applyFill="1" applyBorder="1" applyAlignment="1">
      <alignment horizontal="center" vertical="center" wrapText="1"/>
    </xf>
    <xf numFmtId="10" fontId="6" fillId="4" borderId="76" xfId="1" applyNumberFormat="1" applyFont="1" applyFill="1" applyBorder="1" applyAlignment="1">
      <alignment horizontal="center" vertical="center" wrapText="1"/>
    </xf>
    <xf numFmtId="10" fontId="6" fillId="4" borderId="80" xfId="1" applyNumberFormat="1" applyFont="1" applyFill="1" applyBorder="1" applyAlignment="1">
      <alignment horizontal="center" vertical="center" wrapText="1"/>
    </xf>
    <xf numFmtId="0" fontId="0" fillId="3" borderId="45" xfId="1" applyNumberFormat="1" applyFont="1" applyFill="1" applyBorder="1" applyAlignment="1">
      <alignment horizontal="left" vertical="center" wrapText="1"/>
    </xf>
    <xf numFmtId="0" fontId="12" fillId="3" borderId="49" xfId="1" applyNumberFormat="1" applyFont="1" applyFill="1" applyBorder="1" applyAlignment="1">
      <alignment vertical="center" wrapText="1"/>
    </xf>
    <xf numFmtId="0" fontId="36" fillId="0" borderId="0" xfId="0" applyFont="1"/>
    <xf numFmtId="9" fontId="0" fillId="0" borderId="1" xfId="0" applyNumberFormat="1" applyBorder="1" applyAlignment="1">
      <alignment horizontal="center" vertical="center"/>
    </xf>
    <xf numFmtId="0" fontId="0" fillId="0" borderId="2" xfId="0" applyBorder="1"/>
    <xf numFmtId="0" fontId="9" fillId="0" borderId="1" xfId="0" applyFont="1" applyBorder="1" applyAlignment="1">
      <alignment horizontal="center" vertical="center" wrapText="1"/>
    </xf>
    <xf numFmtId="0" fontId="18" fillId="0" borderId="0" xfId="0" applyFont="1" applyAlignment="1">
      <alignment horizontal="center" wrapText="1"/>
    </xf>
    <xf numFmtId="0" fontId="9" fillId="6" borderId="2" xfId="0" applyFont="1" applyFill="1" applyBorder="1" applyAlignment="1">
      <alignment horizontal="center" vertical="center" wrapText="1"/>
    </xf>
    <xf numFmtId="0" fontId="0" fillId="0" borderId="0" xfId="0"/>
    <xf numFmtId="10" fontId="10" fillId="3" borderId="43" xfId="1" applyNumberFormat="1" applyFont="1" applyFill="1" applyBorder="1" applyAlignment="1">
      <alignment horizontal="center" vertical="center" wrapText="1"/>
    </xf>
    <xf numFmtId="0" fontId="0" fillId="0" borderId="1" xfId="0" applyBorder="1"/>
    <xf numFmtId="0" fontId="0" fillId="0" borderId="43" xfId="0" applyBorder="1"/>
    <xf numFmtId="9" fontId="9" fillId="0" borderId="2" xfId="0" applyNumberFormat="1" applyFont="1" applyBorder="1" applyAlignment="1">
      <alignment horizontal="center" vertical="center"/>
    </xf>
    <xf numFmtId="10" fontId="0" fillId="0" borderId="1" xfId="0" applyNumberFormat="1" applyBorder="1" applyAlignment="1">
      <alignment horizontal="center" vertical="center"/>
    </xf>
    <xf numFmtId="0" fontId="9" fillId="6" borderId="1" xfId="0" applyFont="1" applyFill="1" applyBorder="1" applyAlignment="1">
      <alignment horizontal="center" vertical="center" wrapText="1"/>
    </xf>
    <xf numFmtId="0" fontId="18" fillId="0" borderId="0" xfId="0" applyFont="1" applyAlignment="1">
      <alignment wrapText="1"/>
    </xf>
    <xf numFmtId="10" fontId="6" fillId="4" borderId="37" xfId="1" applyNumberFormat="1" applyFont="1" applyFill="1" applyBorder="1" applyAlignment="1">
      <alignment horizontal="center" vertical="center" wrapText="1"/>
    </xf>
    <xf numFmtId="0" fontId="0" fillId="0" borderId="5" xfId="0" applyBorder="1"/>
    <xf numFmtId="0" fontId="0" fillId="0" borderId="6" xfId="0" applyBorder="1"/>
    <xf numFmtId="10" fontId="10" fillId="3" borderId="1" xfId="1" applyNumberFormat="1" applyFont="1" applyFill="1" applyBorder="1" applyAlignment="1">
      <alignment horizontal="center" vertical="center" wrapText="1"/>
    </xf>
    <xf numFmtId="10" fontId="10" fillId="3" borderId="36" xfId="0" applyNumberFormat="1" applyFont="1" applyFill="1" applyBorder="1" applyAlignment="1">
      <alignment horizontal="center" vertical="center" wrapText="1"/>
    </xf>
    <xf numFmtId="0" fontId="0" fillId="0" borderId="24" xfId="0" applyBorder="1"/>
    <xf numFmtId="0" fontId="0" fillId="0" borderId="20" xfId="0" applyBorder="1"/>
    <xf numFmtId="0" fontId="8" fillId="5" borderId="1" xfId="0" applyFont="1" applyFill="1" applyBorder="1" applyAlignment="1">
      <alignment horizontal="center" vertical="center" wrapText="1"/>
    </xf>
    <xf numFmtId="0" fontId="25" fillId="3" borderId="49" xfId="1" applyNumberFormat="1" applyFont="1" applyFill="1" applyBorder="1" applyAlignment="1">
      <alignment horizontal="center" vertical="center" wrapText="1"/>
    </xf>
    <xf numFmtId="0" fontId="0" fillId="0" borderId="65" xfId="0" applyBorder="1"/>
    <xf numFmtId="0" fontId="0" fillId="0" borderId="3" xfId="0" applyBorder="1"/>
    <xf numFmtId="0" fontId="0" fillId="0" borderId="47" xfId="0" applyBorder="1"/>
    <xf numFmtId="0" fontId="0" fillId="0" borderId="50" xfId="0" applyBorder="1"/>
    <xf numFmtId="10" fontId="10" fillId="3" borderId="37" xfId="0" applyNumberFormat="1" applyFont="1" applyFill="1" applyBorder="1" applyAlignment="1">
      <alignment horizontal="center" vertical="center" wrapText="1"/>
    </xf>
    <xf numFmtId="9" fontId="9" fillId="0" borderId="1" xfId="0" applyNumberFormat="1" applyFont="1" applyBorder="1" applyAlignment="1">
      <alignment horizontal="center" vertical="center"/>
    </xf>
    <xf numFmtId="10" fontId="6" fillId="4" borderId="38" xfId="1" applyNumberFormat="1" applyFont="1" applyFill="1" applyBorder="1" applyAlignment="1">
      <alignment horizontal="center" vertical="center" wrapText="1"/>
    </xf>
    <xf numFmtId="0" fontId="0" fillId="0" borderId="23" xfId="0" applyBorder="1"/>
    <xf numFmtId="0" fontId="0" fillId="0" borderId="18" xfId="0" applyBorder="1"/>
    <xf numFmtId="0" fontId="8" fillId="5" borderId="1" xfId="0" applyFont="1" applyFill="1" applyBorder="1" applyAlignment="1">
      <alignment horizontal="center" vertical="center"/>
    </xf>
    <xf numFmtId="0" fontId="0" fillId="0" borderId="0" xfId="0" applyAlignment="1">
      <alignment horizontal="center" vertical="center"/>
    </xf>
    <xf numFmtId="10" fontId="24" fillId="3" borderId="37" xfId="1" applyNumberFormat="1" applyFont="1" applyFill="1" applyBorder="1" applyAlignment="1">
      <alignment horizontal="center" vertical="center" wrapText="1"/>
    </xf>
    <xf numFmtId="0" fontId="26" fillId="8" borderId="4" xfId="0" applyFont="1" applyFill="1" applyBorder="1" applyAlignment="1">
      <alignment horizontal="left" vertical="center" wrapText="1"/>
    </xf>
    <xf numFmtId="10" fontId="6" fillId="4" borderId="45" xfId="1" applyNumberFormat="1" applyFont="1" applyFill="1" applyBorder="1" applyAlignment="1">
      <alignment horizontal="center" vertical="center" wrapText="1"/>
    </xf>
    <xf numFmtId="0" fontId="0" fillId="0" borderId="48" xfId="0" applyBorder="1"/>
    <xf numFmtId="10" fontId="1" fillId="0" borderId="1" xfId="1" applyNumberFormat="1" applyBorder="1" applyAlignment="1">
      <alignment horizontal="center" vertical="center" wrapText="1"/>
    </xf>
    <xf numFmtId="10" fontId="10" fillId="3" borderId="13" xfId="1" applyNumberFormat="1" applyFont="1" applyFill="1" applyBorder="1" applyAlignment="1">
      <alignment horizontal="center" vertical="center" wrapText="1"/>
    </xf>
    <xf numFmtId="0" fontId="0" fillId="0" borderId="54" xfId="0" applyBorder="1"/>
    <xf numFmtId="0" fontId="0" fillId="0" borderId="25" xfId="0" applyBorder="1"/>
    <xf numFmtId="0" fontId="8" fillId="5" borderId="3" xfId="0" applyFont="1" applyFill="1" applyBorder="1" applyAlignment="1">
      <alignment horizontal="center" vertical="center" wrapText="1"/>
    </xf>
    <xf numFmtId="0" fontId="7" fillId="0" borderId="0" xfId="0" applyFont="1" applyAlignment="1">
      <alignment horizontal="center" vertical="center"/>
    </xf>
    <xf numFmtId="10" fontId="6" fillId="4" borderId="33" xfId="1" applyNumberFormat="1" applyFont="1" applyFill="1" applyBorder="1" applyAlignment="1">
      <alignment horizontal="center" vertical="center" wrapText="1"/>
    </xf>
    <xf numFmtId="0" fontId="8" fillId="0" borderId="3" xfId="0" applyFont="1" applyBorder="1" applyAlignment="1">
      <alignment horizontal="center" vertical="center" wrapText="1"/>
    </xf>
    <xf numFmtId="0" fontId="26" fillId="8" borderId="7" xfId="0" applyFont="1" applyFill="1" applyBorder="1" applyAlignment="1">
      <alignment horizontal="left" vertical="center" wrapText="1"/>
    </xf>
    <xf numFmtId="0" fontId="18" fillId="3" borderId="82" xfId="1" applyNumberFormat="1" applyFont="1" applyFill="1" applyBorder="1" applyAlignment="1">
      <alignment horizontal="left" vertical="center" wrapText="1"/>
    </xf>
    <xf numFmtId="0" fontId="0" fillId="0" borderId="35" xfId="0" applyBorder="1"/>
    <xf numFmtId="0" fontId="0" fillId="0" borderId="34" xfId="0" applyBorder="1"/>
    <xf numFmtId="0" fontId="8" fillId="0" borderId="1" xfId="0" applyFont="1" applyBorder="1" applyAlignment="1">
      <alignment horizontal="center" vertical="center" wrapText="1"/>
    </xf>
    <xf numFmtId="0" fontId="7" fillId="0" borderId="0" xfId="0" applyFont="1" applyAlignment="1">
      <alignment horizontal="center" wrapText="1"/>
    </xf>
    <xf numFmtId="10" fontId="10" fillId="3" borderId="81" xfId="1" applyNumberFormat="1" applyFont="1" applyFill="1" applyBorder="1" applyAlignment="1">
      <alignment horizontal="center" vertical="center" wrapText="1"/>
    </xf>
    <xf numFmtId="0" fontId="0" fillId="0" borderId="55" xfId="0" applyBorder="1"/>
    <xf numFmtId="0" fontId="0" fillId="0" borderId="56" xfId="0" applyBorder="1"/>
    <xf numFmtId="10" fontId="10" fillId="3" borderId="44" xfId="0" applyNumberFormat="1" applyFont="1" applyFill="1" applyBorder="1" applyAlignment="1">
      <alignment horizontal="center" vertical="center" wrapText="1"/>
    </xf>
    <xf numFmtId="0" fontId="0" fillId="0" borderId="11" xfId="0" applyBorder="1"/>
    <xf numFmtId="10" fontId="7" fillId="0" borderId="3" xfId="1" applyNumberFormat="1" applyFont="1" applyBorder="1" applyAlignment="1">
      <alignment horizontal="center" vertical="center" wrapText="1"/>
    </xf>
    <xf numFmtId="0" fontId="7" fillId="0" borderId="0" xfId="0" applyFont="1"/>
    <xf numFmtId="0" fontId="18" fillId="3" borderId="1" xfId="1" applyNumberFormat="1" applyFont="1" applyFill="1" applyBorder="1" applyAlignment="1">
      <alignment horizontal="left" vertical="center" wrapText="1"/>
    </xf>
    <xf numFmtId="0" fontId="8" fillId="6" borderId="3" xfId="0" applyFont="1" applyFill="1" applyBorder="1" applyAlignment="1">
      <alignment horizontal="center" vertical="center" wrapText="1"/>
    </xf>
    <xf numFmtId="0" fontId="7" fillId="0" borderId="0" xfId="0" applyFont="1" applyAlignment="1">
      <alignment wrapText="1"/>
    </xf>
    <xf numFmtId="9" fontId="8" fillId="0" borderId="3" xfId="0" applyNumberFormat="1" applyFont="1" applyBorder="1" applyAlignment="1">
      <alignment horizontal="center" vertical="center"/>
    </xf>
    <xf numFmtId="10" fontId="7" fillId="0" borderId="1" xfId="1" applyNumberFormat="1" applyFont="1" applyBorder="1" applyAlignment="1">
      <alignment horizontal="center" vertical="center" wrapText="1"/>
    </xf>
    <xf numFmtId="9" fontId="7" fillId="0" borderId="0" xfId="0" applyNumberFormat="1" applyFont="1" applyAlignment="1">
      <alignment horizontal="center" vertical="center"/>
    </xf>
    <xf numFmtId="0" fontId="8" fillId="5" borderId="0" xfId="0" applyFont="1" applyFill="1" applyAlignment="1">
      <alignment horizontal="center" vertical="center" wrapText="1"/>
    </xf>
    <xf numFmtId="10" fontId="7" fillId="0" borderId="1" xfId="0" applyNumberFormat="1" applyFont="1" applyBorder="1" applyAlignment="1">
      <alignment horizontal="center" vertical="center"/>
    </xf>
    <xf numFmtId="9" fontId="7" fillId="0" borderId="3" xfId="0" applyNumberFormat="1" applyFont="1" applyBorder="1" applyAlignment="1">
      <alignment horizontal="center" vertical="center"/>
    </xf>
    <xf numFmtId="9" fontId="8" fillId="0" borderId="1" xfId="0" applyNumberFormat="1" applyFont="1" applyBorder="1" applyAlignment="1">
      <alignment horizontal="center" vertical="center"/>
    </xf>
    <xf numFmtId="10" fontId="6" fillId="4" borderId="50" xfId="1"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26" fillId="8" borderId="4" xfId="0" applyFont="1" applyFill="1" applyBorder="1" applyAlignment="1">
      <alignment vertical="center" wrapText="1"/>
    </xf>
    <xf numFmtId="0" fontId="27" fillId="3" borderId="1" xfId="1" applyNumberFormat="1" applyFont="1" applyFill="1" applyBorder="1" applyAlignment="1">
      <alignment horizontal="left" vertical="center" wrapText="1"/>
    </xf>
    <xf numFmtId="0" fontId="26" fillId="8" borderId="6" xfId="0" applyFont="1" applyFill="1" applyBorder="1" applyAlignment="1">
      <alignment horizontal="left" vertical="center" wrapText="1"/>
    </xf>
    <xf numFmtId="9" fontId="7" fillId="0" borderId="1" xfId="0" applyNumberFormat="1" applyFont="1" applyBorder="1" applyAlignment="1">
      <alignment horizontal="center" vertical="center"/>
    </xf>
    <xf numFmtId="10" fontId="10" fillId="3" borderId="37" xfId="1" applyNumberFormat="1" applyFont="1" applyFill="1" applyBorder="1" applyAlignment="1">
      <alignment horizontal="center" vertical="center" wrapText="1"/>
    </xf>
    <xf numFmtId="10" fontId="6" fillId="4" borderId="67" xfId="1" applyNumberFormat="1" applyFont="1" applyFill="1" applyBorder="1" applyAlignment="1">
      <alignment horizontal="center" vertical="center" wrapText="1"/>
    </xf>
    <xf numFmtId="10" fontId="10" fillId="3" borderId="66" xfId="0" applyNumberFormat="1" applyFont="1" applyFill="1" applyBorder="1" applyAlignment="1">
      <alignment horizontal="center" vertical="center" wrapText="1"/>
    </xf>
    <xf numFmtId="0" fontId="0" fillId="0" borderId="87" xfId="0" applyBorder="1"/>
    <xf numFmtId="0" fontId="0" fillId="0" borderId="88" xfId="0" applyBorder="1"/>
    <xf numFmtId="10" fontId="10" fillId="3" borderId="75" xfId="1" applyNumberFormat="1" applyFont="1" applyFill="1" applyBorder="1" applyAlignment="1">
      <alignment horizontal="center" vertical="center" wrapText="1"/>
    </xf>
    <xf numFmtId="10" fontId="10" fillId="3" borderId="67" xfId="1" applyNumberFormat="1" applyFont="1" applyFill="1" applyBorder="1" applyAlignment="1">
      <alignment horizontal="center" vertical="center" wrapText="1"/>
    </xf>
    <xf numFmtId="10" fontId="10" fillId="3" borderId="49" xfId="1" applyNumberFormat="1" applyFont="1" applyFill="1" applyBorder="1" applyAlignment="1">
      <alignment horizontal="center" vertical="center" wrapText="1"/>
    </xf>
    <xf numFmtId="10" fontId="10" fillId="3" borderId="86" xfId="1" applyNumberFormat="1" applyFont="1" applyFill="1" applyBorder="1" applyAlignment="1">
      <alignment horizontal="center" vertical="center" wrapText="1"/>
    </xf>
    <xf numFmtId="10" fontId="6" fillId="4" borderId="74" xfId="1" applyNumberFormat="1" applyFont="1" applyFill="1" applyBorder="1" applyAlignment="1">
      <alignment horizontal="center" vertical="center" wrapText="1"/>
    </xf>
    <xf numFmtId="0" fontId="0" fillId="0" borderId="77" xfId="0" applyBorder="1"/>
    <xf numFmtId="10" fontId="10" fillId="3" borderId="72" xfId="0" applyNumberFormat="1" applyFont="1" applyFill="1" applyBorder="1" applyAlignment="1">
      <alignment horizontal="center" vertical="center" wrapText="1" indent="1"/>
    </xf>
    <xf numFmtId="10" fontId="10" fillId="3" borderId="37" xfId="0" applyNumberFormat="1" applyFont="1" applyFill="1" applyBorder="1" applyAlignment="1">
      <alignment horizontal="center" vertical="center" wrapText="1" indent="1"/>
    </xf>
    <xf numFmtId="9" fontId="10" fillId="3" borderId="49" xfId="1" applyFont="1" applyFill="1" applyBorder="1" applyAlignment="1">
      <alignment horizontal="center" vertical="center" wrapText="1"/>
    </xf>
    <xf numFmtId="10" fontId="10" fillId="3" borderId="67" xfId="0" applyNumberFormat="1" applyFont="1" applyFill="1" applyBorder="1" applyAlignment="1">
      <alignment horizontal="center" vertical="center" wrapText="1"/>
    </xf>
    <xf numFmtId="10" fontId="10" fillId="3" borderId="89" xfId="1" applyNumberFormat="1" applyFont="1" applyFill="1" applyBorder="1" applyAlignment="1">
      <alignment horizontal="center" vertical="center" wrapText="1"/>
    </xf>
    <xf numFmtId="0" fontId="0" fillId="0" borderId="78" xfId="0" applyBorder="1"/>
    <xf numFmtId="0" fontId="0" fillId="0" borderId="79" xfId="0" applyBorder="1"/>
    <xf numFmtId="10" fontId="6" fillId="4" borderId="68" xfId="1" applyNumberFormat="1" applyFont="1" applyFill="1" applyBorder="1" applyAlignment="1">
      <alignment horizontal="center" vertical="center" wrapText="1"/>
    </xf>
    <xf numFmtId="0" fontId="0" fillId="0" borderId="83" xfId="0" applyBorder="1"/>
    <xf numFmtId="0" fontId="0" fillId="0" borderId="84" xfId="0" applyBorder="1"/>
    <xf numFmtId="10" fontId="6" fillId="4" borderId="73" xfId="1" applyNumberFormat="1" applyFont="1" applyFill="1" applyBorder="1" applyAlignment="1">
      <alignment horizontal="center" vertical="center" wrapText="1"/>
    </xf>
    <xf numFmtId="0" fontId="26" fillId="8" borderId="16" xfId="0" applyFont="1" applyFill="1" applyBorder="1" applyAlignment="1">
      <alignment horizontal="left" vertical="center" wrapText="1" indent="2"/>
    </xf>
    <xf numFmtId="0" fontId="18" fillId="3" borderId="85" xfId="1" applyNumberFormat="1" applyFont="1" applyFill="1" applyBorder="1" applyAlignment="1">
      <alignment horizontal="left" vertical="center" wrapText="1"/>
    </xf>
    <xf numFmtId="0" fontId="18" fillId="0" borderId="0" xfId="0" applyFont="1" applyAlignment="1">
      <alignment horizontal="left"/>
    </xf>
    <xf numFmtId="0" fontId="0" fillId="0" borderId="19" xfId="0" applyBorder="1"/>
    <xf numFmtId="0" fontId="25" fillId="3" borderId="2" xfId="0" applyFont="1" applyFill="1" applyBorder="1" applyAlignment="1">
      <alignment vertical="center" wrapText="1"/>
    </xf>
    <xf numFmtId="0" fontId="19" fillId="8" borderId="4" xfId="0" applyFont="1" applyFill="1" applyBorder="1" applyAlignment="1">
      <alignment horizontal="left" vertical="center" wrapText="1" indent="3"/>
    </xf>
    <xf numFmtId="0" fontId="0" fillId="3" borderId="82" xfId="1" applyNumberFormat="1" applyFont="1" applyFill="1" applyBorder="1" applyAlignment="1">
      <alignment horizontal="left" vertical="center" wrapText="1"/>
    </xf>
    <xf numFmtId="0" fontId="2" fillId="0" borderId="0" xfId="0" applyFont="1"/>
    <xf numFmtId="0" fontId="0" fillId="3" borderId="1" xfId="1" applyNumberFormat="1" applyFont="1" applyFill="1" applyBorder="1" applyAlignment="1">
      <alignment horizontal="center" vertical="center" wrapText="1"/>
    </xf>
    <xf numFmtId="0" fontId="28" fillId="8" borderId="4" xfId="0" applyFont="1" applyFill="1" applyBorder="1" applyAlignment="1">
      <alignment vertical="center" wrapText="1"/>
    </xf>
    <xf numFmtId="0" fontId="29" fillId="3" borderId="1" xfId="1" applyNumberFormat="1" applyFont="1" applyFill="1" applyBorder="1" applyAlignment="1">
      <alignment horizontal="left" vertical="center" wrapText="1"/>
    </xf>
    <xf numFmtId="0" fontId="29" fillId="3" borderId="28" xfId="1" applyNumberFormat="1" applyFont="1" applyFill="1" applyBorder="1" applyAlignment="1">
      <alignment horizontal="left" vertical="center" wrapText="1"/>
    </xf>
    <xf numFmtId="0" fontId="0" fillId="0" borderId="30" xfId="0" applyBorder="1"/>
    <xf numFmtId="0" fontId="0" fillId="0" borderId="31" xfId="0" applyBorder="1"/>
    <xf numFmtId="0" fontId="4" fillId="3" borderId="1" xfId="1" applyNumberFormat="1" applyFont="1" applyFill="1" applyBorder="1" applyAlignment="1">
      <alignment horizontal="left" vertical="center" wrapText="1"/>
    </xf>
    <xf numFmtId="0" fontId="8" fillId="6" borderId="2" xfId="0" applyFont="1" applyFill="1" applyBorder="1" applyAlignment="1">
      <alignment horizontal="center" vertical="center" wrapText="1"/>
    </xf>
    <xf numFmtId="0" fontId="26" fillId="8" borderId="37" xfId="0" applyFont="1" applyFill="1" applyBorder="1" applyAlignment="1">
      <alignment horizontal="left" vertical="center" wrapText="1"/>
    </xf>
    <xf numFmtId="0" fontId="18" fillId="3" borderId="28" xfId="1" applyNumberFormat="1" applyFont="1" applyFill="1" applyBorder="1" applyAlignment="1">
      <alignment horizontal="left" vertical="center" wrapText="1"/>
    </xf>
    <xf numFmtId="9" fontId="18" fillId="0" borderId="3" xfId="0" applyNumberFormat="1" applyFont="1" applyBorder="1" applyAlignment="1">
      <alignment horizontal="center" vertical="center"/>
    </xf>
    <xf numFmtId="0" fontId="9" fillId="0" borderId="3" xfId="0" applyFont="1" applyBorder="1" applyAlignment="1">
      <alignment horizontal="center" vertical="center" wrapText="1"/>
    </xf>
    <xf numFmtId="9" fontId="9" fillId="0" borderId="2" xfId="0" applyNumberFormat="1" applyFont="1" applyBorder="1" applyAlignment="1">
      <alignment horizontal="center" vertical="center" wrapText="1"/>
    </xf>
    <xf numFmtId="0" fontId="9" fillId="6" borderId="3" xfId="0" applyFont="1" applyFill="1" applyBorder="1" applyAlignment="1">
      <alignment horizontal="center" vertical="center" wrapText="1"/>
    </xf>
    <xf numFmtId="10" fontId="18" fillId="0" borderId="3" xfId="0" applyNumberFormat="1" applyFont="1" applyBorder="1" applyAlignment="1">
      <alignment horizontal="center" vertical="center"/>
    </xf>
    <xf numFmtId="0" fontId="9" fillId="5" borderId="3" xfId="0" applyFont="1" applyFill="1" applyBorder="1" applyAlignment="1">
      <alignment horizontal="center" vertical="center" wrapText="1"/>
    </xf>
    <xf numFmtId="0" fontId="9" fillId="6" borderId="0" xfId="0" applyFont="1" applyFill="1" applyAlignment="1">
      <alignment horizontal="center" vertical="center" wrapText="1"/>
    </xf>
    <xf numFmtId="0" fontId="4" fillId="3" borderId="1" xfId="1" applyNumberFormat="1" applyFont="1" applyFill="1" applyBorder="1" applyAlignment="1">
      <alignment vertical="center" wrapText="1"/>
    </xf>
    <xf numFmtId="9" fontId="9" fillId="0" borderId="3" xfId="0" applyNumberFormat="1" applyFont="1" applyBorder="1" applyAlignment="1">
      <alignment horizontal="center" vertical="center"/>
    </xf>
    <xf numFmtId="0" fontId="9" fillId="5" borderId="3" xfId="0" applyFont="1" applyFill="1" applyBorder="1" applyAlignment="1">
      <alignment horizontal="center" vertical="center"/>
    </xf>
    <xf numFmtId="10" fontId="18" fillId="0" borderId="3" xfId="1" applyNumberFormat="1" applyFont="1" applyBorder="1" applyAlignment="1">
      <alignment horizontal="center" vertical="center" wrapText="1"/>
    </xf>
    <xf numFmtId="0" fontId="31" fillId="3" borderId="57" xfId="1" applyNumberFormat="1" applyFont="1" applyFill="1" applyBorder="1" applyAlignment="1">
      <alignment horizontal="left" vertical="center" wrapText="1"/>
    </xf>
    <xf numFmtId="0" fontId="0" fillId="0" borderId="90" xfId="0" applyBorder="1"/>
    <xf numFmtId="0" fontId="0" fillId="0" borderId="91" xfId="0" applyBorder="1"/>
    <xf numFmtId="10" fontId="6" fillId="3" borderId="37" xfId="1" applyNumberFormat="1" applyFont="1" applyFill="1" applyBorder="1" applyAlignment="1">
      <alignment horizontal="center" vertical="center" wrapText="1"/>
    </xf>
    <xf numFmtId="10" fontId="6" fillId="4" borderId="59" xfId="1" applyNumberFormat="1" applyFont="1" applyFill="1" applyBorder="1" applyAlignment="1">
      <alignment horizontal="center" vertical="center" wrapText="1"/>
    </xf>
    <xf numFmtId="10" fontId="35" fillId="3" borderId="48" xfId="0" applyNumberFormat="1" applyFont="1" applyFill="1" applyBorder="1" applyAlignment="1">
      <alignment horizontal="center" vertical="center" wrapText="1"/>
    </xf>
    <xf numFmtId="10" fontId="35" fillId="3" borderId="76" xfId="1" applyNumberFormat="1" applyFont="1" applyFill="1" applyBorder="1" applyAlignment="1">
      <alignment horizontal="center" vertical="center" wrapText="1"/>
    </xf>
    <xf numFmtId="0" fontId="0" fillId="0" borderId="63" xfId="0" applyBorder="1"/>
    <xf numFmtId="0" fontId="0" fillId="0" borderId="64" xfId="0" applyBorder="1"/>
    <xf numFmtId="10" fontId="6" fillId="4" borderId="60" xfId="1" applyNumberFormat="1" applyFont="1" applyFill="1" applyBorder="1" applyAlignment="1">
      <alignment horizontal="center" vertical="center" wrapText="1"/>
    </xf>
    <xf numFmtId="0" fontId="0" fillId="0" borderId="61" xfId="0" applyBorder="1"/>
    <xf numFmtId="0" fontId="32" fillId="8" borderId="16" xfId="0" applyFont="1" applyFill="1" applyBorder="1" applyAlignment="1">
      <alignment horizontal="left" vertical="center" wrapText="1"/>
    </xf>
    <xf numFmtId="0" fontId="17" fillId="3" borderId="85" xfId="1" applyNumberFormat="1" applyFont="1" applyFill="1" applyBorder="1" applyAlignment="1">
      <alignment horizontal="left" vertical="center" wrapText="1"/>
    </xf>
    <xf numFmtId="0" fontId="17" fillId="0" borderId="0" xfId="0" applyFont="1" applyAlignment="1">
      <alignment vertical="center"/>
    </xf>
    <xf numFmtId="10" fontId="35" fillId="3" borderId="1" xfId="1" applyNumberFormat="1" applyFont="1" applyFill="1" applyBorder="1" applyAlignment="1">
      <alignment horizontal="center" vertical="center" wrapText="1"/>
    </xf>
    <xf numFmtId="0" fontId="17" fillId="3" borderId="1" xfId="1" applyNumberFormat="1" applyFont="1" applyFill="1" applyBorder="1" applyAlignment="1">
      <alignment horizontal="left" vertical="center" wrapText="1"/>
    </xf>
    <xf numFmtId="10" fontId="6" fillId="4" borderId="27" xfId="1" applyNumberFormat="1" applyFont="1" applyFill="1" applyBorder="1" applyAlignment="1">
      <alignment horizontal="center" vertical="center" wrapText="1"/>
    </xf>
    <xf numFmtId="0" fontId="7" fillId="3" borderId="28" xfId="1" applyNumberFormat="1" applyFont="1" applyFill="1" applyBorder="1" applyAlignment="1">
      <alignment horizontal="left" vertical="center" wrapText="1"/>
    </xf>
    <xf numFmtId="10" fontId="10" fillId="3" borderId="36" xfId="0" applyNumberFormat="1" applyFont="1" applyFill="1" applyBorder="1" applyAlignment="1">
      <alignment horizontal="center" vertical="center" wrapText="1" indent="1"/>
    </xf>
    <xf numFmtId="0" fontId="16" fillId="3" borderId="1" xfId="1" applyNumberFormat="1" applyFont="1" applyFill="1" applyBorder="1" applyAlignment="1">
      <alignment horizontal="left" vertical="center" wrapText="1"/>
    </xf>
    <xf numFmtId="0" fontId="8" fillId="5" borderId="2" xfId="0" applyFont="1" applyFill="1" applyBorder="1" applyAlignment="1">
      <alignment horizontal="center" vertical="center"/>
    </xf>
    <xf numFmtId="10" fontId="6" fillId="4" borderId="37" xfId="1" applyNumberFormat="1" applyFont="1" applyFill="1" applyBorder="1" applyAlignment="1">
      <alignment horizontal="center" vertical="center" wrapText="1" indent="1"/>
    </xf>
    <xf numFmtId="10" fontId="1" fillId="0" borderId="2" xfId="1" applyNumberFormat="1" applyBorder="1" applyAlignment="1">
      <alignment horizontal="center" vertical="center" wrapText="1"/>
    </xf>
    <xf numFmtId="0" fontId="8" fillId="0" borderId="2" xfId="0" applyFont="1" applyBorder="1" applyAlignment="1">
      <alignment horizontal="center" vertical="center" wrapText="1"/>
    </xf>
    <xf numFmtId="0" fontId="21" fillId="8" borderId="4" xfId="0" applyFont="1" applyFill="1" applyBorder="1" applyAlignment="1">
      <alignment horizontal="left" vertical="center" wrapText="1"/>
    </xf>
    <xf numFmtId="0" fontId="7" fillId="3" borderId="82" xfId="1" applyNumberFormat="1" applyFont="1" applyFill="1" applyBorder="1" applyAlignment="1">
      <alignment horizontal="left" vertical="center" wrapText="1"/>
    </xf>
    <xf numFmtId="0" fontId="7" fillId="3" borderId="1" xfId="1" applyNumberFormat="1" applyFont="1" applyFill="1" applyBorder="1" applyAlignment="1">
      <alignment horizontal="left" vertical="center" wrapText="1"/>
    </xf>
    <xf numFmtId="10" fontId="0" fillId="0" borderId="2" xfId="0" applyNumberFormat="1" applyBorder="1" applyAlignment="1">
      <alignment horizontal="center" vertical="center"/>
    </xf>
    <xf numFmtId="0" fontId="11" fillId="6" borderId="1" xfId="0" applyFont="1" applyFill="1" applyBorder="1" applyAlignment="1">
      <alignment horizontal="center" vertical="center" wrapText="1"/>
    </xf>
    <xf numFmtId="10" fontId="10" fillId="3" borderId="4" xfId="0" applyNumberFormat="1" applyFont="1" applyFill="1" applyBorder="1" applyAlignment="1">
      <alignment horizontal="center" vertical="center" wrapText="1"/>
    </xf>
    <xf numFmtId="10" fontId="6" fillId="4" borderId="4" xfId="1" applyNumberFormat="1" applyFont="1" applyFill="1" applyBorder="1" applyAlignment="1">
      <alignment horizontal="center" vertical="center" wrapText="1"/>
    </xf>
    <xf numFmtId="0" fontId="7" fillId="3" borderId="27" xfId="1" applyNumberFormat="1" applyFont="1" applyFill="1" applyBorder="1" applyAlignment="1">
      <alignment horizontal="left" vertical="center" wrapText="1"/>
    </xf>
    <xf numFmtId="10" fontId="10" fillId="3" borderId="13" xfId="0" applyNumberFormat="1" applyFont="1" applyFill="1" applyBorder="1" applyAlignment="1">
      <alignment horizontal="center" vertical="center" wrapText="1" indent="1"/>
    </xf>
    <xf numFmtId="0" fontId="0" fillId="0" borderId="92" xfId="0" applyBorder="1"/>
    <xf numFmtId="0" fontId="0" fillId="0" borderId="93" xfId="0" applyBorder="1"/>
    <xf numFmtId="10" fontId="6" fillId="4" borderId="6" xfId="1" applyNumberFormat="1" applyFont="1" applyFill="1" applyBorder="1" applyAlignment="1">
      <alignment horizontal="center" vertical="center" wrapText="1"/>
    </xf>
    <xf numFmtId="0" fontId="16" fillId="3" borderId="28" xfId="1" applyNumberFormat="1" applyFont="1" applyFill="1" applyBorder="1" applyAlignment="1">
      <alignment horizontal="left" vertical="center" wrapText="1"/>
    </xf>
    <xf numFmtId="10" fontId="6" fillId="4" borderId="14" xfId="1" applyNumberFormat="1" applyFont="1" applyFill="1" applyBorder="1" applyAlignment="1">
      <alignment horizontal="center" vertical="center" wrapText="1"/>
    </xf>
    <xf numFmtId="10" fontId="10" fillId="3" borderId="69" xfId="0" applyNumberFormat="1" applyFont="1" applyFill="1" applyBorder="1" applyAlignment="1">
      <alignment horizontal="center" vertical="center" wrapText="1"/>
    </xf>
    <xf numFmtId="0" fontId="0" fillId="0" borderId="15" xfId="0" applyBorder="1"/>
    <xf numFmtId="0" fontId="0" fillId="0" borderId="16" xfId="0" applyBorder="1"/>
    <xf numFmtId="10" fontId="10" fillId="3" borderId="16" xfId="1" applyNumberFormat="1" applyFont="1" applyFill="1" applyBorder="1" applyAlignment="1">
      <alignment horizontal="center" vertical="center" wrapText="1"/>
    </xf>
    <xf numFmtId="0" fontId="0" fillId="0" borderId="9" xfId="0" applyBorder="1"/>
    <xf numFmtId="0" fontId="0" fillId="0" borderId="17" xfId="0" applyBorder="1"/>
    <xf numFmtId="10" fontId="6" fillId="4" borderId="13" xfId="1" applyNumberFormat="1" applyFont="1" applyFill="1" applyBorder="1" applyAlignment="1">
      <alignment horizontal="center" vertical="center" wrapText="1" indent="1"/>
    </xf>
    <xf numFmtId="10" fontId="10" fillId="3" borderId="20" xfId="0" applyNumberFormat="1" applyFont="1" applyFill="1" applyBorder="1" applyAlignment="1">
      <alignment horizontal="center" vertical="center" wrapText="1"/>
    </xf>
    <xf numFmtId="0" fontId="21" fillId="8" borderId="28" xfId="0" applyFont="1" applyFill="1" applyBorder="1" applyAlignment="1">
      <alignment vertical="center" wrapText="1"/>
    </xf>
    <xf numFmtId="10" fontId="10" fillId="3" borderId="16" xfId="0" applyNumberFormat="1" applyFont="1" applyFill="1" applyBorder="1" applyAlignment="1">
      <alignment horizontal="center" vertical="center" wrapText="1"/>
    </xf>
    <xf numFmtId="0" fontId="7" fillId="3" borderId="28" xfId="1"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10" fontId="10" fillId="3" borderId="6" xfId="0" applyNumberFormat="1" applyFont="1" applyFill="1" applyBorder="1" applyAlignment="1">
      <alignment horizontal="center" vertical="center" wrapText="1"/>
    </xf>
    <xf numFmtId="10" fontId="6" fillId="4" borderId="18" xfId="1" applyNumberFormat="1" applyFont="1" applyFill="1" applyBorder="1" applyAlignment="1">
      <alignment horizontal="center" vertical="center" wrapText="1"/>
    </xf>
    <xf numFmtId="10" fontId="6" fillId="4" borderId="94" xfId="1" applyNumberFormat="1" applyFont="1" applyFill="1" applyBorder="1" applyAlignment="1">
      <alignment horizontal="center" vertical="center" wrapText="1"/>
    </xf>
    <xf numFmtId="0" fontId="0" fillId="0" borderId="51" xfId="0" applyBorder="1"/>
    <xf numFmtId="10" fontId="10" fillId="3" borderId="2" xfId="0" applyNumberFormat="1" applyFont="1" applyFill="1" applyBorder="1" applyAlignment="1">
      <alignment horizontal="center" vertical="center" wrapText="1"/>
    </xf>
    <xf numFmtId="0" fontId="18" fillId="3" borderId="49" xfId="1" applyNumberFormat="1" applyFont="1" applyFill="1" applyBorder="1" applyAlignment="1">
      <alignment horizontal="left" vertical="center" wrapText="1"/>
    </xf>
    <xf numFmtId="0" fontId="25" fillId="3" borderId="49" xfId="1" applyNumberFormat="1" applyFont="1" applyFill="1" applyBorder="1" applyAlignment="1">
      <alignment horizontal="left" vertical="center" wrapText="1"/>
    </xf>
    <xf numFmtId="0" fontId="25" fillId="3" borderId="1" xfId="1" applyNumberFormat="1" applyFont="1" applyFill="1" applyBorder="1" applyAlignment="1">
      <alignment horizontal="left" vertical="center" wrapText="1"/>
    </xf>
    <xf numFmtId="9" fontId="10" fillId="3" borderId="1" xfId="1" applyFont="1" applyFill="1" applyBorder="1" applyAlignment="1">
      <alignment horizontal="center" vertical="center" wrapText="1"/>
    </xf>
    <xf numFmtId="0" fontId="0" fillId="0" borderId="0" xfId="0" applyAlignment="1">
      <alignment horizontal="center"/>
    </xf>
    <xf numFmtId="10" fontId="1" fillId="0" borderId="3" xfId="1" applyNumberFormat="1" applyBorder="1" applyAlignment="1">
      <alignment horizontal="center" vertical="center" wrapText="1"/>
    </xf>
    <xf numFmtId="9" fontId="9" fillId="0" borderId="1" xfId="0" applyNumberFormat="1" applyFont="1" applyBorder="1" applyAlignment="1">
      <alignment horizontal="center" vertical="center" wrapText="1"/>
    </xf>
    <xf numFmtId="0" fontId="18" fillId="3" borderId="1" xfId="1" applyNumberFormat="1" applyFont="1" applyFill="1" applyBorder="1" applyAlignment="1">
      <alignment horizontal="center" vertical="center" wrapText="1"/>
    </xf>
    <xf numFmtId="0" fontId="34" fillId="3" borderId="1" xfId="1" applyNumberFormat="1" applyFont="1" applyFill="1" applyBorder="1" applyAlignment="1">
      <alignment horizontal="left" vertical="center" wrapText="1"/>
    </xf>
  </cellXfs>
  <cellStyles count="2">
    <cellStyle name="Normal" xfId="0" builtinId="0"/>
    <cellStyle name="Porcentaje"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A1:B15"/>
  <sheetViews>
    <sheetView workbookViewId="0">
      <selection activeCell="A6" sqref="A6"/>
    </sheetView>
  </sheetViews>
  <sheetFormatPr baseColWidth="10" defaultRowHeight="14.4" x14ac:dyDescent="0.3"/>
  <cols>
    <col min="1" max="1" width="28.109375" customWidth="1"/>
    <col min="2" max="2" width="18.109375" customWidth="1"/>
  </cols>
  <sheetData>
    <row r="1" spans="1:2" x14ac:dyDescent="0.3">
      <c r="A1" s="274" t="s">
        <v>58</v>
      </c>
      <c r="B1" s="274" t="s">
        <v>59</v>
      </c>
    </row>
    <row r="2" spans="1:2" x14ac:dyDescent="0.3">
      <c r="A2" s="274" t="s">
        <v>60</v>
      </c>
      <c r="B2" s="274" t="s">
        <v>61</v>
      </c>
    </row>
    <row r="3" spans="1:2" x14ac:dyDescent="0.3">
      <c r="A3" s="274" t="s">
        <v>62</v>
      </c>
      <c r="B3" s="274" t="s">
        <v>61</v>
      </c>
    </row>
    <row r="4" spans="1:2" x14ac:dyDescent="0.3">
      <c r="A4" s="274" t="s">
        <v>63</v>
      </c>
      <c r="B4" s="274" t="s">
        <v>61</v>
      </c>
    </row>
    <row r="5" spans="1:2" x14ac:dyDescent="0.3">
      <c r="A5" s="274" t="s">
        <v>64</v>
      </c>
      <c r="B5" s="274" t="s">
        <v>61</v>
      </c>
    </row>
    <row r="6" spans="1:2" x14ac:dyDescent="0.3">
      <c r="A6" s="274" t="s">
        <v>65</v>
      </c>
      <c r="B6" s="274" t="s">
        <v>61</v>
      </c>
    </row>
    <row r="7" spans="1:2" x14ac:dyDescent="0.3">
      <c r="A7" s="274" t="s">
        <v>66</v>
      </c>
      <c r="B7" s="274" t="s">
        <v>61</v>
      </c>
    </row>
    <row r="8" spans="1:2" x14ac:dyDescent="0.3">
      <c r="A8" s="274" t="s">
        <v>67</v>
      </c>
      <c r="B8" s="274" t="s">
        <v>68</v>
      </c>
    </row>
    <row r="9" spans="1:2" x14ac:dyDescent="0.3">
      <c r="A9" s="274" t="s">
        <v>69</v>
      </c>
      <c r="B9" s="274" t="s">
        <v>68</v>
      </c>
    </row>
    <row r="10" spans="1:2" x14ac:dyDescent="0.3">
      <c r="A10" s="274" t="s">
        <v>70</v>
      </c>
      <c r="B10" s="274" t="s">
        <v>68</v>
      </c>
    </row>
    <row r="11" spans="1:2" x14ac:dyDescent="0.3">
      <c r="A11" s="274" t="s">
        <v>71</v>
      </c>
      <c r="B11" s="274" t="s">
        <v>72</v>
      </c>
    </row>
    <row r="12" spans="1:2" x14ac:dyDescent="0.3">
      <c r="A12" s="274" t="s">
        <v>73</v>
      </c>
      <c r="B12" s="274" t="s">
        <v>72</v>
      </c>
    </row>
    <row r="13" spans="1:2" x14ac:dyDescent="0.3">
      <c r="A13" s="274" t="s">
        <v>74</v>
      </c>
      <c r="B13" s="274" t="s">
        <v>72</v>
      </c>
    </row>
    <row r="14" spans="1:2" x14ac:dyDescent="0.3">
      <c r="A14" s="274" t="s">
        <v>75</v>
      </c>
      <c r="B14" s="274" t="s">
        <v>72</v>
      </c>
    </row>
    <row r="15" spans="1:2" x14ac:dyDescent="0.3">
      <c r="A15" s="274" t="s">
        <v>76</v>
      </c>
      <c r="B15" s="274"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tabColor theme="7" tint="0.39997558519241921"/>
  </sheetPr>
  <dimension ref="A1:Q22"/>
  <sheetViews>
    <sheetView topLeftCell="G15" zoomScale="70" zoomScaleNormal="70" zoomScaleSheetLayoutView="70" zoomScalePageLayoutView="40" workbookViewId="0">
      <selection activeCell="O20" sqref="O20"/>
    </sheetView>
  </sheetViews>
  <sheetFormatPr baseColWidth="10" defaultColWidth="11.44140625" defaultRowHeight="18" x14ac:dyDescent="0.3"/>
  <cols>
    <col min="1" max="1" width="20.6640625" style="81" customWidth="1"/>
    <col min="2" max="2" width="9.109375" style="55" customWidth="1"/>
    <col min="3" max="3" width="19.6640625" style="73" customWidth="1"/>
    <col min="4" max="4" width="11.88671875" style="55" customWidth="1"/>
    <col min="5" max="5" width="40.6640625" style="82" customWidth="1"/>
    <col min="6" max="6" width="12.6640625" style="55" customWidth="1"/>
    <col min="7" max="7" width="74.33203125" style="55" customWidth="1"/>
    <col min="8" max="8" width="13.6640625" style="118" customWidth="1"/>
    <col min="9" max="15" width="23.44140625" customWidth="1"/>
    <col min="16" max="16" width="121.33203125" style="259" customWidth="1"/>
    <col min="17" max="17" width="26.6640625" customWidth="1"/>
  </cols>
  <sheetData>
    <row r="1" spans="1:17" s="54"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54" t="s">
        <v>16</v>
      </c>
    </row>
    <row r="2" spans="1:17" ht="57.6" customHeight="1" thickTop="1" thickBot="1" x14ac:dyDescent="0.35">
      <c r="A2" s="334" t="s">
        <v>17</v>
      </c>
      <c r="B2" s="336">
        <v>0.2</v>
      </c>
      <c r="C2" s="306" t="s">
        <v>77</v>
      </c>
      <c r="D2" s="340">
        <v>0.1</v>
      </c>
      <c r="E2" s="319" t="s">
        <v>19</v>
      </c>
      <c r="F2" s="331">
        <f>$B$2/4</f>
        <v>0.05</v>
      </c>
      <c r="G2" s="56" t="s">
        <v>20</v>
      </c>
      <c r="H2" s="116">
        <v>1</v>
      </c>
      <c r="I2" s="292">
        <v>1</v>
      </c>
      <c r="J2" s="288">
        <f>I2*$F2</f>
        <v>0.05</v>
      </c>
      <c r="K2" s="301">
        <v>1</v>
      </c>
      <c r="L2" s="288">
        <f>K2*$F2</f>
        <v>0.05</v>
      </c>
      <c r="M2" s="301">
        <v>1</v>
      </c>
      <c r="N2" s="288">
        <f>M2*$F2</f>
        <v>0.05</v>
      </c>
      <c r="O2" s="303">
        <f>AVERAGE(J2,L2,N2)</f>
        <v>5.000000000000001E-2</v>
      </c>
      <c r="P2" s="321" t="s">
        <v>78</v>
      </c>
      <c r="Q2" s="319" t="s">
        <v>22</v>
      </c>
    </row>
    <row r="3" spans="1:17" ht="57.6" customHeight="1" thickTop="1" thickBot="1" x14ac:dyDescent="0.35">
      <c r="A3" s="335"/>
      <c r="B3" s="332"/>
      <c r="C3" s="317"/>
      <c r="D3" s="332"/>
      <c r="E3" s="325"/>
      <c r="F3" s="332"/>
      <c r="G3" s="56" t="s">
        <v>23</v>
      </c>
      <c r="H3" s="117">
        <v>0.8</v>
      </c>
      <c r="I3" s="293"/>
      <c r="J3" s="289"/>
      <c r="K3" s="289"/>
      <c r="L3" s="289"/>
      <c r="M3" s="289"/>
      <c r="N3" s="289"/>
      <c r="O3" s="304"/>
      <c r="P3" s="322"/>
      <c r="Q3" s="280"/>
    </row>
    <row r="4" spans="1:17" ht="69" customHeight="1" thickTop="1" thickBot="1" x14ac:dyDescent="0.35">
      <c r="A4" s="335"/>
      <c r="B4" s="332"/>
      <c r="C4" s="317"/>
      <c r="D4" s="332"/>
      <c r="E4" s="325"/>
      <c r="F4" s="332"/>
      <c r="G4" s="56" t="s">
        <v>24</v>
      </c>
      <c r="H4" s="63">
        <v>0</v>
      </c>
      <c r="I4" s="294"/>
      <c r="J4" s="290"/>
      <c r="K4" s="290"/>
      <c r="L4" s="290"/>
      <c r="M4" s="290"/>
      <c r="N4" s="290"/>
      <c r="O4" s="305"/>
      <c r="P4" s="323"/>
      <c r="Q4" s="280"/>
    </row>
    <row r="5" spans="1:17" ht="105.75" customHeight="1" thickTop="1" thickBot="1" x14ac:dyDescent="0.35">
      <c r="A5" s="335"/>
      <c r="B5" s="332"/>
      <c r="C5" s="276"/>
      <c r="D5" s="276"/>
      <c r="E5" s="10" t="s">
        <v>25</v>
      </c>
      <c r="F5" s="60">
        <f>$B$2/4</f>
        <v>0.05</v>
      </c>
      <c r="G5" s="38" t="s">
        <v>26</v>
      </c>
      <c r="H5" s="63" t="s">
        <v>27</v>
      </c>
      <c r="I5" s="138">
        <v>1</v>
      </c>
      <c r="J5" s="139">
        <f>I5*$F5</f>
        <v>0.05</v>
      </c>
      <c r="K5" s="140">
        <v>1</v>
      </c>
      <c r="L5" s="139">
        <f>K5*$F5</f>
        <v>0.05</v>
      </c>
      <c r="M5" s="140">
        <v>1</v>
      </c>
      <c r="N5" s="139">
        <f>M5*$F5</f>
        <v>0.05</v>
      </c>
      <c r="O5" s="142">
        <f>AVERAGE(J5,L5,N5)</f>
        <v>5.000000000000001E-2</v>
      </c>
      <c r="P5" s="236" t="s">
        <v>79</v>
      </c>
      <c r="Q5" s="10" t="s">
        <v>22</v>
      </c>
    </row>
    <row r="6" spans="1:17" ht="18.600000000000001" customHeight="1" thickTop="1" thickBot="1" x14ac:dyDescent="0.35">
      <c r="A6" s="335"/>
      <c r="B6" s="332"/>
      <c r="C6" s="306" t="s">
        <v>18</v>
      </c>
      <c r="D6" s="340">
        <v>0.1</v>
      </c>
      <c r="E6" s="324" t="s">
        <v>19</v>
      </c>
      <c r="F6" s="337">
        <f>$B$2/4</f>
        <v>0.05</v>
      </c>
      <c r="G6" s="56" t="s">
        <v>20</v>
      </c>
      <c r="H6" s="116">
        <v>1</v>
      </c>
      <c r="I6" s="292">
        <v>1</v>
      </c>
      <c r="J6" s="288">
        <f>I6*$F6</f>
        <v>0.05</v>
      </c>
      <c r="K6" s="301">
        <v>1</v>
      </c>
      <c r="L6" s="288">
        <f>K6*$F6</f>
        <v>0.05</v>
      </c>
      <c r="M6" s="329">
        <v>1</v>
      </c>
      <c r="N6" s="288">
        <f>M6*$F6</f>
        <v>0.05</v>
      </c>
      <c r="O6" s="303">
        <f>AVERAGE(J6,L6,N6)</f>
        <v>5.000000000000001E-2</v>
      </c>
      <c r="P6" s="309" t="s">
        <v>21</v>
      </c>
      <c r="Q6" s="324" t="s">
        <v>22</v>
      </c>
    </row>
    <row r="7" spans="1:17" ht="18.600000000000001" customHeight="1" thickTop="1" thickBot="1" x14ac:dyDescent="0.35">
      <c r="A7" s="335"/>
      <c r="B7" s="332"/>
      <c r="C7" s="317"/>
      <c r="D7" s="332"/>
      <c r="E7" s="325"/>
      <c r="F7" s="332"/>
      <c r="G7" s="56" t="s">
        <v>23</v>
      </c>
      <c r="H7" s="117">
        <v>0.8</v>
      </c>
      <c r="I7" s="293"/>
      <c r="J7" s="289"/>
      <c r="K7" s="289"/>
      <c r="L7" s="289"/>
      <c r="M7" s="289"/>
      <c r="N7" s="289"/>
      <c r="O7" s="304"/>
      <c r="P7" s="289"/>
      <c r="Q7" s="280"/>
    </row>
    <row r="8" spans="1:17" ht="57.6" customHeight="1" thickTop="1" thickBot="1" x14ac:dyDescent="0.35">
      <c r="A8" s="335"/>
      <c r="B8" s="332"/>
      <c r="C8" s="317"/>
      <c r="D8" s="332"/>
      <c r="E8" s="276"/>
      <c r="F8" s="276"/>
      <c r="G8" s="56" t="s">
        <v>24</v>
      </c>
      <c r="H8" s="63">
        <v>0.5</v>
      </c>
      <c r="I8" s="294"/>
      <c r="J8" s="290"/>
      <c r="K8" s="290"/>
      <c r="L8" s="290"/>
      <c r="M8" s="330"/>
      <c r="N8" s="290"/>
      <c r="O8" s="305"/>
      <c r="P8" s="290"/>
      <c r="Q8" s="276"/>
    </row>
    <row r="9" spans="1:17" ht="105.75" customHeight="1" thickTop="1" thickBot="1" x14ac:dyDescent="0.35">
      <c r="A9" s="335"/>
      <c r="B9" s="332"/>
      <c r="C9" s="276"/>
      <c r="D9" s="276"/>
      <c r="E9" s="10" t="s">
        <v>25</v>
      </c>
      <c r="F9" s="60">
        <f>$B$2/4</f>
        <v>0.05</v>
      </c>
      <c r="G9" s="38" t="s">
        <v>26</v>
      </c>
      <c r="H9" s="63" t="s">
        <v>27</v>
      </c>
      <c r="I9" s="155">
        <v>1</v>
      </c>
      <c r="J9" s="153">
        <f>I9*$F9</f>
        <v>0.05</v>
      </c>
      <c r="K9" s="156">
        <v>1</v>
      </c>
      <c r="L9" s="153">
        <f>K9*$F9</f>
        <v>0.05</v>
      </c>
      <c r="M9" s="156">
        <v>1</v>
      </c>
      <c r="N9" s="153">
        <f>M9*$F9</f>
        <v>0.05</v>
      </c>
      <c r="O9" s="154">
        <f>AVERAGE(J9,L9,N9)</f>
        <v>5.000000000000001E-2</v>
      </c>
      <c r="P9" s="241" t="s">
        <v>80</v>
      </c>
      <c r="Q9" s="10" t="s">
        <v>22</v>
      </c>
    </row>
    <row r="10" spans="1:17" ht="114" customHeight="1" thickTop="1" thickBot="1" x14ac:dyDescent="0.35">
      <c r="A10" s="334" t="s">
        <v>29</v>
      </c>
      <c r="B10" s="336">
        <v>0.25</v>
      </c>
      <c r="C10" s="64" t="s">
        <v>77</v>
      </c>
      <c r="D10" s="65">
        <v>6.6666666666666666E-2</v>
      </c>
      <c r="E10" s="8" t="s">
        <v>81</v>
      </c>
      <c r="F10" s="65">
        <f>(20%/3)</f>
        <v>6.6666666666666666E-2</v>
      </c>
      <c r="G10" s="66" t="s">
        <v>82</v>
      </c>
      <c r="H10" s="67" t="s">
        <v>27</v>
      </c>
      <c r="I10" s="143">
        <v>1</v>
      </c>
      <c r="J10" s="144">
        <f>I10*$F10</f>
        <v>6.6666666666666666E-2</v>
      </c>
      <c r="K10" s="145">
        <v>1</v>
      </c>
      <c r="L10" s="144">
        <f>K10*$F10</f>
        <v>6.6666666666666666E-2</v>
      </c>
      <c r="M10" s="156">
        <v>1</v>
      </c>
      <c r="N10" s="144">
        <f>M10*$F10</f>
        <v>6.6666666666666666E-2</v>
      </c>
      <c r="O10" s="147">
        <f>AVERAGE(J10,L10,N10)</f>
        <v>6.6666666666666666E-2</v>
      </c>
      <c r="P10" s="238" t="s">
        <v>83</v>
      </c>
      <c r="Q10" s="8" t="s">
        <v>22</v>
      </c>
    </row>
    <row r="11" spans="1:17" ht="240.6" customHeight="1" thickTop="1" thickBot="1" x14ac:dyDescent="0.35">
      <c r="A11" s="335"/>
      <c r="B11" s="332"/>
      <c r="C11" s="64" t="s">
        <v>84</v>
      </c>
      <c r="D11" s="65">
        <v>6.6666666666666666E-2</v>
      </c>
      <c r="E11" s="8" t="s">
        <v>85</v>
      </c>
      <c r="F11" s="65">
        <f>(20%/3)</f>
        <v>6.6666666666666666E-2</v>
      </c>
      <c r="G11" s="66" t="s">
        <v>85</v>
      </c>
      <c r="H11" s="67" t="s">
        <v>27</v>
      </c>
      <c r="I11" s="281">
        <v>0.30630000000000002</v>
      </c>
      <c r="J11" s="282"/>
      <c r="K11" s="282"/>
      <c r="L11" s="282"/>
      <c r="M11" s="282"/>
      <c r="N11" s="283"/>
      <c r="O11" s="147">
        <f>I11*F11</f>
        <v>2.0420000000000001E-2</v>
      </c>
      <c r="P11" s="238" t="s">
        <v>86</v>
      </c>
      <c r="Q11" s="8" t="s">
        <v>43</v>
      </c>
    </row>
    <row r="12" spans="1:17" ht="72" customHeight="1" thickTop="1" thickBot="1" x14ac:dyDescent="0.35">
      <c r="A12" s="335"/>
      <c r="B12" s="332"/>
      <c r="C12" s="152" t="s">
        <v>87</v>
      </c>
      <c r="D12" s="65">
        <v>6.6666666666666666E-2</v>
      </c>
      <c r="E12" s="8" t="s">
        <v>88</v>
      </c>
      <c r="F12" s="65">
        <f>(20%/3)</f>
        <v>6.6666666666666666E-2</v>
      </c>
      <c r="G12" s="66" t="s">
        <v>89</v>
      </c>
      <c r="H12" s="67" t="s">
        <v>27</v>
      </c>
      <c r="I12" s="143">
        <v>1</v>
      </c>
      <c r="J12" s="144">
        <f>I12*$F12</f>
        <v>6.6666666666666666E-2</v>
      </c>
      <c r="K12" s="145">
        <v>1</v>
      </c>
      <c r="L12" s="144">
        <f>K12*$F12</f>
        <v>6.6666666666666666E-2</v>
      </c>
      <c r="M12" s="172">
        <v>1</v>
      </c>
      <c r="N12" s="144">
        <f>M12*$F12</f>
        <v>6.6666666666666666E-2</v>
      </c>
      <c r="O12" s="147">
        <f>AVERAGE(J12,L12,N12)</f>
        <v>6.6666666666666666E-2</v>
      </c>
      <c r="P12" s="258" t="s">
        <v>90</v>
      </c>
      <c r="Q12" s="8" t="s">
        <v>22</v>
      </c>
    </row>
    <row r="13" spans="1:17" ht="140.25" customHeight="1" thickTop="1" thickBot="1" x14ac:dyDescent="0.35">
      <c r="A13" s="335"/>
      <c r="B13" s="332"/>
      <c r="C13" s="64" t="s">
        <v>30</v>
      </c>
      <c r="D13" s="65">
        <v>0.03</v>
      </c>
      <c r="E13" s="8" t="s">
        <v>31</v>
      </c>
      <c r="F13" s="65">
        <v>0.03</v>
      </c>
      <c r="G13" s="66" t="s">
        <v>32</v>
      </c>
      <c r="H13" s="67" t="s">
        <v>27</v>
      </c>
      <c r="I13" s="148">
        <v>1</v>
      </c>
      <c r="J13" s="149">
        <f>I13*$F13</f>
        <v>0.03</v>
      </c>
      <c r="K13" s="150">
        <v>1</v>
      </c>
      <c r="L13" s="149">
        <f>K13*$F13</f>
        <v>0.03</v>
      </c>
      <c r="M13" s="172">
        <v>0.9</v>
      </c>
      <c r="N13" s="149">
        <f>M13*$F13</f>
        <v>2.7E-2</v>
      </c>
      <c r="O13" s="147">
        <f>AVERAGE(J13,L13,N13)</f>
        <v>2.8999999999999998E-2</v>
      </c>
      <c r="P13" s="239" t="s">
        <v>91</v>
      </c>
      <c r="Q13" s="8" t="s">
        <v>22</v>
      </c>
    </row>
    <row r="14" spans="1:17" ht="214.2" customHeight="1" thickTop="1" thickBot="1" x14ac:dyDescent="0.35">
      <c r="A14" s="335"/>
      <c r="B14" s="332"/>
      <c r="C14" s="64" t="s">
        <v>34</v>
      </c>
      <c r="D14" s="65">
        <v>0.02</v>
      </c>
      <c r="E14" s="8" t="s">
        <v>35</v>
      </c>
      <c r="F14" s="65">
        <v>0.02</v>
      </c>
      <c r="G14" s="66" t="s">
        <v>36</v>
      </c>
      <c r="H14" s="67" t="s">
        <v>27</v>
      </c>
      <c r="I14" s="173">
        <v>0.52939999999999998</v>
      </c>
      <c r="J14" s="174">
        <f>I14*$F14</f>
        <v>1.0588E-2</v>
      </c>
      <c r="K14" s="175">
        <v>0.71050000000000002</v>
      </c>
      <c r="L14" s="174">
        <f>K14*$F14</f>
        <v>1.421E-2</v>
      </c>
      <c r="M14" s="176">
        <v>0.69230000000000003</v>
      </c>
      <c r="N14" s="174">
        <f>M14*$F14</f>
        <v>1.3846000000000001E-2</v>
      </c>
      <c r="O14" s="147">
        <f>AVERAGE(J14,L14,N14)</f>
        <v>1.2881333333333333E-2</v>
      </c>
      <c r="P14" s="239" t="s">
        <v>92</v>
      </c>
      <c r="Q14" s="8" t="s">
        <v>22</v>
      </c>
    </row>
    <row r="15" spans="1:17" ht="123.6" customHeight="1" thickTop="1" thickBot="1" x14ac:dyDescent="0.35">
      <c r="A15" s="334" t="s">
        <v>38</v>
      </c>
      <c r="B15" s="336">
        <v>0.25</v>
      </c>
      <c r="C15" s="339" t="s">
        <v>39</v>
      </c>
      <c r="D15" s="338">
        <f>B15</f>
        <v>0.25</v>
      </c>
      <c r="E15" s="10" t="s">
        <v>40</v>
      </c>
      <c r="F15" s="78">
        <f>D15*0.8</f>
        <v>0.2</v>
      </c>
      <c r="G15" s="69" t="s">
        <v>41</v>
      </c>
      <c r="H15" s="77" t="s">
        <v>27</v>
      </c>
      <c r="I15" s="313">
        <f>((1)/(2))</f>
        <v>0.5</v>
      </c>
      <c r="J15" s="314"/>
      <c r="K15" s="314"/>
      <c r="L15" s="314"/>
      <c r="M15" s="314"/>
      <c r="N15" s="315"/>
      <c r="O15" s="158">
        <f>F15*I15</f>
        <v>0.1</v>
      </c>
      <c r="P15" s="320" t="s">
        <v>93</v>
      </c>
      <c r="Q15" s="10" t="s">
        <v>43</v>
      </c>
    </row>
    <row r="16" spans="1:17" ht="123.6" customHeight="1" thickTop="1" thickBot="1" x14ac:dyDescent="0.35">
      <c r="A16" s="335"/>
      <c r="B16" s="332"/>
      <c r="C16" s="317"/>
      <c r="D16" s="332"/>
      <c r="E16" s="10" t="s">
        <v>44</v>
      </c>
      <c r="F16" s="78">
        <f>D15*0.2</f>
        <v>0.05</v>
      </c>
      <c r="G16" s="69" t="s">
        <v>45</v>
      </c>
      <c r="H16" s="77" t="s">
        <v>27</v>
      </c>
      <c r="I16" s="313">
        <f>((0)/(1))</f>
        <v>0</v>
      </c>
      <c r="J16" s="314"/>
      <c r="K16" s="314"/>
      <c r="L16" s="314"/>
      <c r="M16" s="314"/>
      <c r="N16" s="315"/>
      <c r="O16" s="158">
        <f>I16*$F16</f>
        <v>0</v>
      </c>
      <c r="P16" s="276"/>
      <c r="Q16" s="10" t="s">
        <v>43</v>
      </c>
    </row>
    <row r="17" spans="1:17" ht="84" customHeight="1" thickTop="1" thickBot="1" x14ac:dyDescent="0.35">
      <c r="A17" s="334" t="s">
        <v>47</v>
      </c>
      <c r="B17" s="336">
        <v>0.3</v>
      </c>
      <c r="C17" s="316" t="s">
        <v>48</v>
      </c>
      <c r="D17" s="341">
        <f>$B$17/2</f>
        <v>0.15</v>
      </c>
      <c r="E17" s="319" t="s">
        <v>49</v>
      </c>
      <c r="F17" s="341">
        <f>$B$17/2</f>
        <v>0.15</v>
      </c>
      <c r="G17" s="79" t="s">
        <v>50</v>
      </c>
      <c r="H17" s="74">
        <v>1</v>
      </c>
      <c r="I17" s="326">
        <v>1</v>
      </c>
      <c r="J17" s="327"/>
      <c r="K17" s="327"/>
      <c r="L17" s="327"/>
      <c r="M17" s="327"/>
      <c r="N17" s="328"/>
      <c r="O17" s="318">
        <f>I17*F17</f>
        <v>0.15</v>
      </c>
      <c r="P17" s="333" t="s">
        <v>94</v>
      </c>
      <c r="Q17" s="319" t="s">
        <v>43</v>
      </c>
    </row>
    <row r="18" spans="1:17" ht="84" customHeight="1" thickTop="1" thickBot="1" x14ac:dyDescent="0.35">
      <c r="A18" s="335"/>
      <c r="B18" s="332"/>
      <c r="C18" s="317"/>
      <c r="D18" s="332"/>
      <c r="E18" s="325"/>
      <c r="F18" s="332"/>
      <c r="G18" s="159" t="s">
        <v>52</v>
      </c>
      <c r="H18" s="151">
        <v>0</v>
      </c>
      <c r="I18" s="276"/>
      <c r="J18" s="276"/>
      <c r="K18" s="276"/>
      <c r="L18" s="276"/>
      <c r="M18" s="276"/>
      <c r="N18" s="300"/>
      <c r="O18" s="304"/>
      <c r="P18" s="276"/>
      <c r="Q18" s="280"/>
    </row>
    <row r="19" spans="1:17" ht="109.95" customHeight="1" thickTop="1" thickBot="1" x14ac:dyDescent="0.35">
      <c r="A19" s="335"/>
      <c r="B19" s="332"/>
      <c r="C19" s="35" t="s">
        <v>53</v>
      </c>
      <c r="D19" s="76">
        <v>0.15</v>
      </c>
      <c r="E19" s="7" t="s">
        <v>54</v>
      </c>
      <c r="F19" s="76">
        <v>0.15</v>
      </c>
      <c r="G19" s="66" t="s">
        <v>55</v>
      </c>
      <c r="H19" s="76">
        <v>1</v>
      </c>
      <c r="I19" s="281">
        <v>0.21429999999999999</v>
      </c>
      <c r="J19" s="282"/>
      <c r="K19" s="282"/>
      <c r="L19" s="282"/>
      <c r="M19" s="282"/>
      <c r="N19" s="283"/>
      <c r="O19" s="147">
        <f>I19*F19</f>
        <v>3.2145E-2</v>
      </c>
      <c r="P19" s="211" t="s">
        <v>95</v>
      </c>
      <c r="Q19" s="8" t="s">
        <v>43</v>
      </c>
    </row>
    <row r="20" spans="1:17" ht="26.7" customHeight="1" thickTop="1" x14ac:dyDescent="0.3">
      <c r="L20" s="5" t="s">
        <v>57</v>
      </c>
      <c r="M20" s="5"/>
      <c r="N20" s="5"/>
      <c r="O20" s="4">
        <f>SUM(O2:O19)</f>
        <v>0.67777966666666678</v>
      </c>
    </row>
    <row r="22" spans="1:17" ht="15.75" customHeight="1" x14ac:dyDescent="0.3"/>
  </sheetData>
  <mergeCells count="49">
    <mergeCell ref="B17:B19"/>
    <mergeCell ref="A2:A9"/>
    <mergeCell ref="A15:A16"/>
    <mergeCell ref="N2:N4"/>
    <mergeCell ref="C15:C16"/>
    <mergeCell ref="C6:C9"/>
    <mergeCell ref="B10:B14"/>
    <mergeCell ref="E2:E4"/>
    <mergeCell ref="E17:E18"/>
    <mergeCell ref="A17:A19"/>
    <mergeCell ref="K2:K4"/>
    <mergeCell ref="D6:D9"/>
    <mergeCell ref="D17:D18"/>
    <mergeCell ref="N6:N8"/>
    <mergeCell ref="D2:D5"/>
    <mergeCell ref="I6:I8"/>
    <mergeCell ref="A10:A14"/>
    <mergeCell ref="L2:L4"/>
    <mergeCell ref="B2:B9"/>
    <mergeCell ref="O6:O8"/>
    <mergeCell ref="B15:B16"/>
    <mergeCell ref="F6:F8"/>
    <mergeCell ref="I2:I4"/>
    <mergeCell ref="D15:D16"/>
    <mergeCell ref="O2:O4"/>
    <mergeCell ref="K6:K8"/>
    <mergeCell ref="L6:L8"/>
    <mergeCell ref="Q17:Q18"/>
    <mergeCell ref="J6:J8"/>
    <mergeCell ref="M2:M4"/>
    <mergeCell ref="P6:P8"/>
    <mergeCell ref="P15:P16"/>
    <mergeCell ref="P2:P4"/>
    <mergeCell ref="I15:N15"/>
    <mergeCell ref="I17:N18"/>
    <mergeCell ref="M6:M8"/>
    <mergeCell ref="I11:N11"/>
    <mergeCell ref="P17:P18"/>
    <mergeCell ref="J2:J4"/>
    <mergeCell ref="Q6:Q8"/>
    <mergeCell ref="Q2:Q4"/>
    <mergeCell ref="I16:N16"/>
    <mergeCell ref="I19:N19"/>
    <mergeCell ref="C17:C18"/>
    <mergeCell ref="O17:O18"/>
    <mergeCell ref="C2:C5"/>
    <mergeCell ref="E6:E8"/>
    <mergeCell ref="F2:F4"/>
    <mergeCell ref="F17:F18"/>
  </mergeCells>
  <printOptions horizontalCentered="1"/>
  <pageMargins left="0.25" right="0.25" top="0.75" bottom="0.75" header="0.3" footer="0.3"/>
  <pageSetup scale="40" orientation="landscape"/>
  <rowBreaks count="1" manualBreakCount="1">
    <brk id="1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2">
    <tabColor theme="7" tint="0.39997558519241921"/>
  </sheetPr>
  <dimension ref="A1:Q20"/>
  <sheetViews>
    <sheetView topLeftCell="A13" zoomScale="45" zoomScaleNormal="70" zoomScaleSheetLayoutView="90" workbookViewId="0">
      <selection activeCell="A17" sqref="A17:A19"/>
    </sheetView>
  </sheetViews>
  <sheetFormatPr baseColWidth="10" defaultColWidth="11.44140625" defaultRowHeight="18" x14ac:dyDescent="0.35"/>
  <cols>
    <col min="1" max="1" width="20.6640625" style="3" customWidth="1"/>
    <col min="2" max="2" width="9.109375" customWidth="1"/>
    <col min="3" max="3" width="19.6640625" style="2" customWidth="1"/>
    <col min="4" max="4" width="9.44140625" customWidth="1"/>
    <col min="5" max="5" width="40.6640625" style="1" customWidth="1"/>
    <col min="6" max="6" width="8" customWidth="1"/>
    <col min="7" max="7" width="63.88671875" customWidth="1"/>
    <col min="8" max="8" width="10.109375" style="136" customWidth="1"/>
    <col min="9" max="15" width="23.88671875" customWidth="1"/>
    <col min="16" max="16" width="173.109375" style="237" customWidth="1"/>
    <col min="17" max="24" width="37.664062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54" t="s">
        <v>16</v>
      </c>
    </row>
    <row r="2" spans="1:17" ht="59.25" customHeight="1" thickTop="1" thickBot="1" x14ac:dyDescent="0.35">
      <c r="A2" s="344" t="s">
        <v>17</v>
      </c>
      <c r="B2" s="342">
        <v>0.2</v>
      </c>
      <c r="C2" s="306" t="s">
        <v>77</v>
      </c>
      <c r="D2" s="340">
        <f>$B$2/2</f>
        <v>0.1</v>
      </c>
      <c r="E2" s="324" t="s">
        <v>19</v>
      </c>
      <c r="F2" s="337">
        <f>$B$2/4</f>
        <v>0.05</v>
      </c>
      <c r="G2" s="56" t="s">
        <v>20</v>
      </c>
      <c r="H2" s="116">
        <v>1</v>
      </c>
      <c r="I2" s="292">
        <v>1</v>
      </c>
      <c r="J2" s="288">
        <f>I2*$F2</f>
        <v>0.05</v>
      </c>
      <c r="K2" s="301">
        <v>1</v>
      </c>
      <c r="L2" s="288">
        <f>K2*$F2</f>
        <v>0.05</v>
      </c>
      <c r="M2" s="351">
        <v>0.83330000000000004</v>
      </c>
      <c r="N2" s="288">
        <f>M2*$F2</f>
        <v>4.1665000000000008E-2</v>
      </c>
      <c r="O2" s="303">
        <f>AVERAGE(J2,L2,N2)</f>
        <v>4.7221666666666669E-2</v>
      </c>
      <c r="P2" s="349" t="s">
        <v>96</v>
      </c>
      <c r="Q2" s="319" t="s">
        <v>22</v>
      </c>
    </row>
    <row r="3" spans="1:17" ht="59.25" customHeight="1" thickTop="1" thickBot="1" x14ac:dyDescent="0.35">
      <c r="A3" s="345"/>
      <c r="B3" s="280"/>
      <c r="C3" s="307"/>
      <c r="D3" s="280"/>
      <c r="E3" s="346"/>
      <c r="F3" s="280"/>
      <c r="G3" s="56" t="s">
        <v>23</v>
      </c>
      <c r="H3" s="117">
        <v>0.8</v>
      </c>
      <c r="I3" s="293"/>
      <c r="J3" s="289"/>
      <c r="K3" s="289"/>
      <c r="L3" s="289"/>
      <c r="M3" s="289"/>
      <c r="N3" s="289"/>
      <c r="O3" s="304"/>
      <c r="P3" s="289"/>
      <c r="Q3" s="280"/>
    </row>
    <row r="4" spans="1:17" ht="59.25" customHeight="1" thickTop="1" thickBot="1" x14ac:dyDescent="0.35">
      <c r="A4" s="345"/>
      <c r="B4" s="280"/>
      <c r="C4" s="307"/>
      <c r="D4" s="280"/>
      <c r="E4" s="276"/>
      <c r="F4" s="276"/>
      <c r="G4" s="56" t="s">
        <v>24</v>
      </c>
      <c r="H4" s="63">
        <v>0</v>
      </c>
      <c r="I4" s="294"/>
      <c r="J4" s="290"/>
      <c r="K4" s="290"/>
      <c r="L4" s="290"/>
      <c r="M4" s="290"/>
      <c r="N4" s="290"/>
      <c r="O4" s="305"/>
      <c r="P4" s="290"/>
      <c r="Q4" s="280"/>
    </row>
    <row r="5" spans="1:17" ht="156" customHeight="1" thickTop="1" thickBot="1" x14ac:dyDescent="0.35">
      <c r="A5" s="345"/>
      <c r="B5" s="280"/>
      <c r="C5" s="276"/>
      <c r="D5" s="276"/>
      <c r="E5" s="10" t="s">
        <v>25</v>
      </c>
      <c r="F5" s="60">
        <f>$B$2/4</f>
        <v>0.05</v>
      </c>
      <c r="G5" s="38" t="s">
        <v>26</v>
      </c>
      <c r="H5" s="63" t="s">
        <v>27</v>
      </c>
      <c r="I5" s="138">
        <v>1</v>
      </c>
      <c r="J5" s="139">
        <f>I5*$F5</f>
        <v>0.05</v>
      </c>
      <c r="K5" s="140">
        <v>1</v>
      </c>
      <c r="L5" s="139">
        <f>K5*$F5</f>
        <v>0.05</v>
      </c>
      <c r="M5" s="229">
        <v>1</v>
      </c>
      <c r="N5" s="139">
        <f>M5*$F5</f>
        <v>0.05</v>
      </c>
      <c r="O5" s="142">
        <f>AVERAGE(J5,L5,N5)</f>
        <v>5.000000000000001E-2</v>
      </c>
      <c r="P5" s="241" t="s">
        <v>97</v>
      </c>
      <c r="Q5" s="10" t="s">
        <v>22</v>
      </c>
    </row>
    <row r="6" spans="1:17" ht="43.2" customHeight="1" thickTop="1" thickBot="1" x14ac:dyDescent="0.35">
      <c r="A6" s="345"/>
      <c r="B6" s="280"/>
      <c r="C6" s="306" t="s">
        <v>18</v>
      </c>
      <c r="D6" s="340">
        <f>$B$2/2</f>
        <v>0.1</v>
      </c>
      <c r="E6" s="324" t="s">
        <v>19</v>
      </c>
      <c r="F6" s="337">
        <f>$B$2/4</f>
        <v>0.05</v>
      </c>
      <c r="G6" s="56" t="s">
        <v>20</v>
      </c>
      <c r="H6" s="116">
        <v>1</v>
      </c>
      <c r="I6" s="292">
        <v>1</v>
      </c>
      <c r="J6" s="288">
        <f>I6*$F6</f>
        <v>0.05</v>
      </c>
      <c r="K6" s="292">
        <v>1</v>
      </c>
      <c r="L6" s="288">
        <f>K6*$F6</f>
        <v>0.05</v>
      </c>
      <c r="M6" s="292">
        <v>1</v>
      </c>
      <c r="N6" s="288">
        <f>M6*$F6</f>
        <v>0.05</v>
      </c>
      <c r="O6" s="303">
        <f>AVERAGE(J6,L6,N6)</f>
        <v>5.000000000000001E-2</v>
      </c>
      <c r="P6" s="347" t="s">
        <v>21</v>
      </c>
      <c r="Q6" s="324" t="s">
        <v>22</v>
      </c>
    </row>
    <row r="7" spans="1:17" ht="43.2" customHeight="1" thickTop="1" thickBot="1" x14ac:dyDescent="0.35">
      <c r="A7" s="345"/>
      <c r="B7" s="280"/>
      <c r="C7" s="307"/>
      <c r="D7" s="280"/>
      <c r="E7" s="346"/>
      <c r="F7" s="280"/>
      <c r="G7" s="56" t="s">
        <v>23</v>
      </c>
      <c r="H7" s="117">
        <v>0.8</v>
      </c>
      <c r="I7" s="293"/>
      <c r="J7" s="289"/>
      <c r="K7" s="293"/>
      <c r="L7" s="289"/>
      <c r="M7" s="293"/>
      <c r="N7" s="289"/>
      <c r="O7" s="304"/>
      <c r="P7" s="289"/>
      <c r="Q7" s="280"/>
    </row>
    <row r="8" spans="1:17" ht="43.2" customHeight="1" thickTop="1" thickBot="1" x14ac:dyDescent="0.35">
      <c r="A8" s="345"/>
      <c r="B8" s="280"/>
      <c r="C8" s="307"/>
      <c r="D8" s="280"/>
      <c r="E8" s="276"/>
      <c r="F8" s="276"/>
      <c r="G8" s="56" t="s">
        <v>24</v>
      </c>
      <c r="H8" s="63">
        <v>0.5</v>
      </c>
      <c r="I8" s="294"/>
      <c r="J8" s="290"/>
      <c r="K8" s="294"/>
      <c r="L8" s="290"/>
      <c r="M8" s="294"/>
      <c r="N8" s="290"/>
      <c r="O8" s="305"/>
      <c r="P8" s="290"/>
      <c r="Q8" s="276"/>
    </row>
    <row r="9" spans="1:17" ht="177" customHeight="1" thickTop="1" thickBot="1" x14ac:dyDescent="0.35">
      <c r="A9" s="276"/>
      <c r="B9" s="276"/>
      <c r="C9" s="276"/>
      <c r="D9" s="276"/>
      <c r="E9" s="10" t="s">
        <v>25</v>
      </c>
      <c r="F9" s="60">
        <f>$B$2/4</f>
        <v>0.05</v>
      </c>
      <c r="G9" s="38" t="s">
        <v>26</v>
      </c>
      <c r="H9" s="63" t="s">
        <v>27</v>
      </c>
      <c r="I9" s="166">
        <v>1</v>
      </c>
      <c r="J9" s="139">
        <f>I9*$F9</f>
        <v>0.05</v>
      </c>
      <c r="K9" s="166">
        <v>1</v>
      </c>
      <c r="L9" s="139">
        <f>K9*$F9</f>
        <v>0.05</v>
      </c>
      <c r="M9" s="166">
        <v>1</v>
      </c>
      <c r="N9" s="139">
        <f>M9*$F9</f>
        <v>0.05</v>
      </c>
      <c r="O9" s="142">
        <f>AVERAGE(J9,L9,N9)</f>
        <v>5.000000000000001E-2</v>
      </c>
      <c r="P9" s="201" t="s">
        <v>98</v>
      </c>
      <c r="Q9" s="10" t="s">
        <v>22</v>
      </c>
    </row>
    <row r="10" spans="1:17" ht="99.75" customHeight="1" thickTop="1" thickBot="1" x14ac:dyDescent="0.35">
      <c r="A10" s="344" t="s">
        <v>29</v>
      </c>
      <c r="B10" s="342">
        <v>0.25</v>
      </c>
      <c r="C10" s="64" t="s">
        <v>77</v>
      </c>
      <c r="D10" s="65">
        <f>(20%/3)</f>
        <v>6.6666666666666666E-2</v>
      </c>
      <c r="E10" s="8" t="s">
        <v>81</v>
      </c>
      <c r="F10" s="65">
        <f>(20%/3)</f>
        <v>6.6666666666666666E-2</v>
      </c>
      <c r="G10" s="66" t="s">
        <v>82</v>
      </c>
      <c r="H10" s="67" t="s">
        <v>27</v>
      </c>
      <c r="I10" s="131">
        <v>1</v>
      </c>
      <c r="J10" s="144">
        <f>I10*$F10</f>
        <v>6.6666666666666666E-2</v>
      </c>
      <c r="K10" s="131">
        <v>1</v>
      </c>
      <c r="L10" s="144">
        <f>K10*$F10</f>
        <v>6.6666666666666666E-2</v>
      </c>
      <c r="M10" s="131">
        <v>0.91669999999999996</v>
      </c>
      <c r="N10" s="144">
        <f>M10*$F10</f>
        <v>6.1113333333333332E-2</v>
      </c>
      <c r="O10" s="147">
        <f>AVERAGE(J10,L10,N10)</f>
        <v>6.4815555555555557E-2</v>
      </c>
      <c r="P10" s="238" t="s">
        <v>99</v>
      </c>
      <c r="Q10" s="8" t="s">
        <v>22</v>
      </c>
    </row>
    <row r="11" spans="1:17" ht="408.75" customHeight="1" thickTop="1" thickBot="1" x14ac:dyDescent="0.35">
      <c r="A11" s="345"/>
      <c r="B11" s="280"/>
      <c r="C11" s="64" t="s">
        <v>84</v>
      </c>
      <c r="D11" s="65">
        <f>(20%/3)</f>
        <v>6.6666666666666666E-2</v>
      </c>
      <c r="E11" s="8" t="s">
        <v>85</v>
      </c>
      <c r="F11" s="65">
        <f>(20%/3)</f>
        <v>6.6666666666666666E-2</v>
      </c>
      <c r="G11" s="66" t="s">
        <v>85</v>
      </c>
      <c r="H11" s="67" t="s">
        <v>27</v>
      </c>
      <c r="I11" s="343">
        <v>0.71389999999999998</v>
      </c>
      <c r="J11" s="276"/>
      <c r="K11" s="276"/>
      <c r="L11" s="276"/>
      <c r="M11" s="276"/>
      <c r="N11" s="300"/>
      <c r="O11" s="147">
        <f>I11*D11</f>
        <v>4.7593333333333335E-2</v>
      </c>
      <c r="P11" s="238" t="s">
        <v>100</v>
      </c>
      <c r="Q11" s="8" t="s">
        <v>43</v>
      </c>
    </row>
    <row r="12" spans="1:17" ht="60" customHeight="1" thickTop="1" thickBot="1" x14ac:dyDescent="0.35">
      <c r="A12" s="345"/>
      <c r="B12" s="280"/>
      <c r="C12" s="68" t="s">
        <v>87</v>
      </c>
      <c r="D12" s="65">
        <f>(20%/3)</f>
        <v>6.6666666666666666E-2</v>
      </c>
      <c r="E12" s="10" t="s">
        <v>88</v>
      </c>
      <c r="F12" s="65">
        <f>(20%/3)</f>
        <v>6.6666666666666666E-2</v>
      </c>
      <c r="G12" s="69" t="s">
        <v>89</v>
      </c>
      <c r="H12" s="70" t="s">
        <v>27</v>
      </c>
      <c r="I12" s="143">
        <v>1</v>
      </c>
      <c r="J12" s="144">
        <f>I12*$F12</f>
        <v>6.6666666666666666E-2</v>
      </c>
      <c r="K12" s="145">
        <v>1</v>
      </c>
      <c r="L12" s="144">
        <f>K12*$F12</f>
        <v>6.6666666666666666E-2</v>
      </c>
      <c r="M12" s="184">
        <v>1</v>
      </c>
      <c r="N12" s="144">
        <f>M12*$F12</f>
        <v>6.6666666666666666E-2</v>
      </c>
      <c r="O12" s="147">
        <f>AVERAGE(J12,L12,N12)</f>
        <v>6.6666666666666666E-2</v>
      </c>
      <c r="P12" s="238" t="s">
        <v>90</v>
      </c>
      <c r="Q12" s="8" t="s">
        <v>22</v>
      </c>
    </row>
    <row r="13" spans="1:17" ht="100.5" customHeight="1" thickTop="1" thickBot="1" x14ac:dyDescent="0.35">
      <c r="A13" s="345"/>
      <c r="B13" s="280"/>
      <c r="C13" s="64" t="s">
        <v>30</v>
      </c>
      <c r="D13" s="65">
        <v>0.03</v>
      </c>
      <c r="E13" s="8" t="s">
        <v>31</v>
      </c>
      <c r="F13" s="65">
        <v>0.03</v>
      </c>
      <c r="G13" s="66" t="s">
        <v>32</v>
      </c>
      <c r="H13" s="67" t="s">
        <v>27</v>
      </c>
      <c r="I13" s="143">
        <v>1</v>
      </c>
      <c r="J13" s="144">
        <f>I13*$F13</f>
        <v>0.03</v>
      </c>
      <c r="K13" s="145">
        <v>1</v>
      </c>
      <c r="L13" s="144">
        <f>K13*$F13</f>
        <v>0.03</v>
      </c>
      <c r="M13" s="184">
        <v>0.875</v>
      </c>
      <c r="N13" s="144">
        <f>M13*$F13</f>
        <v>2.6249999999999999E-2</v>
      </c>
      <c r="O13" s="147">
        <f>AVERAGE(J13,L13,N13)</f>
        <v>2.8749999999999998E-2</v>
      </c>
      <c r="P13" s="233" t="s">
        <v>101</v>
      </c>
      <c r="Q13" s="8" t="s">
        <v>22</v>
      </c>
    </row>
    <row r="14" spans="1:17" ht="91.95" customHeight="1" thickTop="1" thickBot="1" x14ac:dyDescent="0.35">
      <c r="A14" s="276"/>
      <c r="B14" s="276"/>
      <c r="C14" s="71" t="s">
        <v>34</v>
      </c>
      <c r="D14" s="58">
        <v>0.02</v>
      </c>
      <c r="E14" s="16" t="s">
        <v>35</v>
      </c>
      <c r="F14" s="58">
        <v>0.02</v>
      </c>
      <c r="G14" s="72" t="s">
        <v>36</v>
      </c>
      <c r="H14" s="73" t="s">
        <v>27</v>
      </c>
      <c r="I14" s="143">
        <v>0.33329999999999999</v>
      </c>
      <c r="J14" s="144">
        <f>I14*$F14</f>
        <v>6.6660000000000001E-3</v>
      </c>
      <c r="K14" s="145">
        <v>0.33329999999999999</v>
      </c>
      <c r="L14" s="144">
        <f>K14*$F14</f>
        <v>6.6660000000000001E-3</v>
      </c>
      <c r="M14" s="145">
        <v>0.33329999999999999</v>
      </c>
      <c r="N14" s="144">
        <f>M14*$F14</f>
        <v>6.6660000000000001E-3</v>
      </c>
      <c r="O14" s="147">
        <f>AVERAGE(J14,L14,N14)</f>
        <v>6.6660000000000009E-3</v>
      </c>
      <c r="P14" s="239" t="s">
        <v>102</v>
      </c>
      <c r="Q14" s="8" t="s">
        <v>22</v>
      </c>
    </row>
    <row r="15" spans="1:17" ht="250.5" customHeight="1" thickTop="1" thickBot="1" x14ac:dyDescent="0.35">
      <c r="A15" s="344" t="s">
        <v>38</v>
      </c>
      <c r="B15" s="342">
        <v>0.25</v>
      </c>
      <c r="C15" s="295" t="s">
        <v>39</v>
      </c>
      <c r="D15" s="350">
        <f>B15</f>
        <v>0.25</v>
      </c>
      <c r="E15" s="12" t="s">
        <v>40</v>
      </c>
      <c r="F15" s="84">
        <f>D15*0.8</f>
        <v>0.2</v>
      </c>
      <c r="G15" s="66" t="s">
        <v>41</v>
      </c>
      <c r="H15" s="74" t="s">
        <v>27</v>
      </c>
      <c r="I15" s="291">
        <v>0.75</v>
      </c>
      <c r="J15" s="282"/>
      <c r="K15" s="282"/>
      <c r="L15" s="282"/>
      <c r="M15" s="282"/>
      <c r="N15" s="282"/>
      <c r="O15" s="158">
        <f>I15*$F15</f>
        <v>0.15000000000000002</v>
      </c>
      <c r="P15" s="348" t="s">
        <v>103</v>
      </c>
      <c r="Q15" s="10" t="s">
        <v>43</v>
      </c>
    </row>
    <row r="16" spans="1:17" ht="250.5" customHeight="1" thickTop="1" thickBot="1" x14ac:dyDescent="0.35">
      <c r="A16" s="276"/>
      <c r="B16" s="276"/>
      <c r="C16" s="276"/>
      <c r="D16" s="276"/>
      <c r="E16" s="10" t="s">
        <v>44</v>
      </c>
      <c r="F16" s="78">
        <f>D15*0.2</f>
        <v>0.05</v>
      </c>
      <c r="G16" s="69" t="s">
        <v>45</v>
      </c>
      <c r="H16" s="77" t="s">
        <v>27</v>
      </c>
      <c r="I16" s="291">
        <v>0.5</v>
      </c>
      <c r="J16" s="282"/>
      <c r="K16" s="282"/>
      <c r="L16" s="282"/>
      <c r="M16" s="282"/>
      <c r="N16" s="282"/>
      <c r="O16" s="158">
        <f>I16*$F16</f>
        <v>2.5000000000000001E-2</v>
      </c>
      <c r="P16" s="276"/>
      <c r="Q16" s="10" t="s">
        <v>43</v>
      </c>
    </row>
    <row r="17" spans="1:17" ht="66" customHeight="1" thickTop="1" thickBot="1" x14ac:dyDescent="0.35">
      <c r="A17" s="344" t="s">
        <v>47</v>
      </c>
      <c r="B17" s="342">
        <v>0.3</v>
      </c>
      <c r="C17" s="295" t="s">
        <v>48</v>
      </c>
      <c r="D17" s="350">
        <f>$B$17/2</f>
        <v>0.15</v>
      </c>
      <c r="E17" s="324" t="s">
        <v>49</v>
      </c>
      <c r="F17" s="350">
        <f>$B$17/2</f>
        <v>0.15</v>
      </c>
      <c r="G17" s="114" t="s">
        <v>50</v>
      </c>
      <c r="H17" s="74">
        <v>1</v>
      </c>
      <c r="I17" s="281">
        <v>1</v>
      </c>
      <c r="J17" s="298"/>
      <c r="K17" s="298"/>
      <c r="L17" s="298"/>
      <c r="M17" s="298"/>
      <c r="N17" s="299"/>
      <c r="O17" s="310">
        <f>I17*$F17</f>
        <v>0.15</v>
      </c>
      <c r="P17" s="333" t="s">
        <v>94</v>
      </c>
      <c r="Q17" s="319" t="s">
        <v>43</v>
      </c>
    </row>
    <row r="18" spans="1:17" ht="66" customHeight="1" thickTop="1" thickBot="1" x14ac:dyDescent="0.35">
      <c r="A18" s="345"/>
      <c r="B18" s="280"/>
      <c r="C18" s="276"/>
      <c r="D18" s="276"/>
      <c r="E18" s="276"/>
      <c r="F18" s="276"/>
      <c r="G18" s="80" t="s">
        <v>52</v>
      </c>
      <c r="H18" s="77">
        <v>0</v>
      </c>
      <c r="I18" s="276"/>
      <c r="J18" s="276"/>
      <c r="K18" s="276"/>
      <c r="L18" s="276"/>
      <c r="M18" s="276"/>
      <c r="N18" s="300"/>
      <c r="O18" s="311"/>
      <c r="P18" s="276"/>
      <c r="Q18" s="280"/>
    </row>
    <row r="19" spans="1:17" ht="82.2" customHeight="1" thickTop="1" thickBot="1" x14ac:dyDescent="0.35">
      <c r="A19" s="276"/>
      <c r="B19" s="276"/>
      <c r="C19" s="35" t="s">
        <v>53</v>
      </c>
      <c r="D19" s="76">
        <v>0.15</v>
      </c>
      <c r="E19" s="7" t="s">
        <v>54</v>
      </c>
      <c r="F19" s="76">
        <v>0.15</v>
      </c>
      <c r="G19" s="66" t="s">
        <v>55</v>
      </c>
      <c r="H19" s="76">
        <v>1</v>
      </c>
      <c r="I19" s="281">
        <v>0.42220000000000002</v>
      </c>
      <c r="J19" s="282"/>
      <c r="K19" s="282"/>
      <c r="L19" s="282"/>
      <c r="M19" s="282"/>
      <c r="N19" s="283"/>
      <c r="O19" s="147">
        <f>I19*$F19</f>
        <v>6.3329999999999997E-2</v>
      </c>
      <c r="P19" s="234" t="s">
        <v>104</v>
      </c>
      <c r="Q19" s="8" t="s">
        <v>43</v>
      </c>
    </row>
    <row r="20" spans="1:17" ht="26.7" customHeight="1" thickTop="1" x14ac:dyDescent="0.35">
      <c r="L20" s="5" t="s">
        <v>57</v>
      </c>
      <c r="M20" s="5"/>
      <c r="N20" s="5"/>
      <c r="O20" s="4">
        <f>SUM(O2:O19)</f>
        <v>0.80004322222222235</v>
      </c>
    </row>
  </sheetData>
  <mergeCells count="49">
    <mergeCell ref="A17:A19"/>
    <mergeCell ref="Q6:Q8"/>
    <mergeCell ref="D6:D9"/>
    <mergeCell ref="A10:A14"/>
    <mergeCell ref="B2:B9"/>
    <mergeCell ref="B15:B16"/>
    <mergeCell ref="I2:I4"/>
    <mergeCell ref="D15:D16"/>
    <mergeCell ref="I19:N19"/>
    <mergeCell ref="C17:C18"/>
    <mergeCell ref="O17:O18"/>
    <mergeCell ref="C2:C5"/>
    <mergeCell ref="Q17:Q18"/>
    <mergeCell ref="M2:M4"/>
    <mergeCell ref="P17:P18"/>
    <mergeCell ref="J2:J4"/>
    <mergeCell ref="L2:L4"/>
    <mergeCell ref="O6:O8"/>
    <mergeCell ref="F6:F8"/>
    <mergeCell ref="Q2:Q4"/>
    <mergeCell ref="N6:N8"/>
    <mergeCell ref="D2:D5"/>
    <mergeCell ref="I6:I8"/>
    <mergeCell ref="K6:K8"/>
    <mergeCell ref="L6:L8"/>
    <mergeCell ref="P6:P8"/>
    <mergeCell ref="P15:P16"/>
    <mergeCell ref="P2:P4"/>
    <mergeCell ref="E6:E8"/>
    <mergeCell ref="I15:N15"/>
    <mergeCell ref="K2:K4"/>
    <mergeCell ref="O2:O4"/>
    <mergeCell ref="I16:N16"/>
    <mergeCell ref="I17:N18"/>
    <mergeCell ref="M6:M8"/>
    <mergeCell ref="B17:B19"/>
    <mergeCell ref="I11:N11"/>
    <mergeCell ref="A2:A9"/>
    <mergeCell ref="F2:F4"/>
    <mergeCell ref="A15:A16"/>
    <mergeCell ref="N2:N4"/>
    <mergeCell ref="C15:C16"/>
    <mergeCell ref="C6:C9"/>
    <mergeCell ref="E2:E4"/>
    <mergeCell ref="J6:J8"/>
    <mergeCell ref="D17:D18"/>
    <mergeCell ref="F17:F18"/>
    <mergeCell ref="B10:B14"/>
    <mergeCell ref="E17:E18"/>
  </mergeCells>
  <printOptions horizontalCentered="1"/>
  <pageMargins left="0.23622047244094491" right="0.23622047244094491" top="0.74803149606299213" bottom="0.74803149606299213" header="0.31496062992125978" footer="0.31496062992125978"/>
  <pageSetup scale="42"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tabColor theme="7" tint="0.39997558519241921"/>
  </sheetPr>
  <dimension ref="A1:Q20"/>
  <sheetViews>
    <sheetView topLeftCell="A13" zoomScale="43" zoomScaleNormal="70" zoomScaleSheetLayoutView="90" workbookViewId="0">
      <selection activeCell="O19" sqref="O19"/>
    </sheetView>
  </sheetViews>
  <sheetFormatPr baseColWidth="10" defaultColWidth="11.44140625" defaultRowHeight="18" x14ac:dyDescent="0.35"/>
  <cols>
    <col min="1" max="1" width="20.6640625" style="3" customWidth="1"/>
    <col min="2" max="2" width="9.109375" customWidth="1"/>
    <col min="3" max="3" width="19.6640625" style="2" customWidth="1"/>
    <col min="4" max="4" width="8.88671875" customWidth="1"/>
    <col min="5" max="5" width="50.88671875" style="1" customWidth="1"/>
    <col min="6" max="6" width="8" customWidth="1"/>
    <col min="7" max="7" width="51.109375" customWidth="1"/>
    <col min="8" max="8" width="10.109375" style="136" customWidth="1"/>
    <col min="9" max="14" width="25.33203125" customWidth="1"/>
    <col min="15" max="15" width="23.44140625" customWidth="1"/>
    <col min="16" max="16" width="199.88671875" style="237" customWidth="1"/>
    <col min="17" max="28" width="49.664062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54" t="s">
        <v>16</v>
      </c>
    </row>
    <row r="2" spans="1:17" ht="60.75" customHeight="1" thickTop="1" thickBot="1" x14ac:dyDescent="0.35">
      <c r="A2" s="344" t="s">
        <v>17</v>
      </c>
      <c r="B2" s="302">
        <v>0.2</v>
      </c>
      <c r="C2" s="306" t="s">
        <v>77</v>
      </c>
      <c r="D2" s="285">
        <f>B2/2</f>
        <v>0.1</v>
      </c>
      <c r="E2" s="324" t="s">
        <v>19</v>
      </c>
      <c r="F2" s="312">
        <f>$B$2/4</f>
        <v>0.05</v>
      </c>
      <c r="G2" s="38" t="s">
        <v>20</v>
      </c>
      <c r="H2" s="191">
        <v>1</v>
      </c>
      <c r="I2" s="353">
        <v>1</v>
      </c>
      <c r="J2" s="352">
        <f>I2*$F2</f>
        <v>0.05</v>
      </c>
      <c r="K2" s="365">
        <v>1</v>
      </c>
      <c r="L2" s="352">
        <f>K2*$F2</f>
        <v>0.05</v>
      </c>
      <c r="M2" s="357">
        <v>0.875</v>
      </c>
      <c r="N2" s="352">
        <f>M2*$F2</f>
        <v>4.3750000000000004E-2</v>
      </c>
      <c r="O2" s="369">
        <f>AVERAGE(J2,L2,N2)</f>
        <v>4.791666666666667E-2</v>
      </c>
      <c r="P2" s="374" t="s">
        <v>105</v>
      </c>
      <c r="Q2" s="319" t="s">
        <v>22</v>
      </c>
    </row>
    <row r="3" spans="1:17" ht="60.75" customHeight="1" thickTop="1" thickBot="1" x14ac:dyDescent="0.35">
      <c r="A3" s="345"/>
      <c r="B3" s="280"/>
      <c r="C3" s="307"/>
      <c r="D3" s="280"/>
      <c r="E3" s="346"/>
      <c r="F3" s="280"/>
      <c r="G3" s="38" t="s">
        <v>23</v>
      </c>
      <c r="H3" s="192">
        <v>0.8</v>
      </c>
      <c r="I3" s="354"/>
      <c r="J3" s="289"/>
      <c r="K3" s="289"/>
      <c r="L3" s="289"/>
      <c r="M3" s="289"/>
      <c r="N3" s="289"/>
      <c r="O3" s="370"/>
      <c r="P3" s="375"/>
      <c r="Q3" s="280"/>
    </row>
    <row r="4" spans="1:17" ht="60.75" customHeight="1" thickTop="1" thickBot="1" x14ac:dyDescent="0.35">
      <c r="A4" s="345"/>
      <c r="B4" s="280"/>
      <c r="C4" s="307"/>
      <c r="D4" s="280"/>
      <c r="E4" s="276"/>
      <c r="F4" s="276"/>
      <c r="G4" s="38" t="s">
        <v>24</v>
      </c>
      <c r="H4" s="21">
        <v>0</v>
      </c>
      <c r="I4" s="355"/>
      <c r="J4" s="290"/>
      <c r="K4" s="290"/>
      <c r="L4" s="290"/>
      <c r="M4" s="290"/>
      <c r="N4" s="290"/>
      <c r="O4" s="371"/>
      <c r="P4" s="376"/>
      <c r="Q4" s="280"/>
    </row>
    <row r="5" spans="1:17" ht="46.2" customHeight="1" thickTop="1" thickBot="1" x14ac:dyDescent="0.35">
      <c r="A5" s="345"/>
      <c r="B5" s="280"/>
      <c r="C5" s="276"/>
      <c r="D5" s="276"/>
      <c r="E5" s="10" t="s">
        <v>25</v>
      </c>
      <c r="F5" s="22">
        <f>$B$2/4</f>
        <v>0.05</v>
      </c>
      <c r="G5" s="38" t="s">
        <v>26</v>
      </c>
      <c r="H5" s="21" t="s">
        <v>27</v>
      </c>
      <c r="I5" s="265">
        <v>1</v>
      </c>
      <c r="J5" s="139">
        <f>I5*$F5</f>
        <v>0.05</v>
      </c>
      <c r="K5" s="140">
        <v>1</v>
      </c>
      <c r="L5" s="139">
        <f>K5*$F5</f>
        <v>0.05</v>
      </c>
      <c r="M5" s="229">
        <v>1</v>
      </c>
      <c r="N5" s="139">
        <f>M5*$F5</f>
        <v>0.05</v>
      </c>
      <c r="O5" s="266">
        <f>AVERAGE(J5,L5,N5)</f>
        <v>5.000000000000001E-2</v>
      </c>
      <c r="P5" s="260" t="s">
        <v>106</v>
      </c>
      <c r="Q5" s="10" t="s">
        <v>22</v>
      </c>
    </row>
    <row r="6" spans="1:17" ht="18.600000000000001" customHeight="1" thickTop="1" thickBot="1" x14ac:dyDescent="0.35">
      <c r="A6" s="345"/>
      <c r="B6" s="280"/>
      <c r="C6" s="306" t="s">
        <v>18</v>
      </c>
      <c r="D6" s="285">
        <f>B2/2</f>
        <v>0.1</v>
      </c>
      <c r="E6" s="324" t="s">
        <v>19</v>
      </c>
      <c r="F6" s="312">
        <f>$B$2/4</f>
        <v>0.05</v>
      </c>
      <c r="G6" s="38" t="s">
        <v>20</v>
      </c>
      <c r="H6" s="191">
        <v>1</v>
      </c>
      <c r="I6" s="362">
        <v>1</v>
      </c>
      <c r="J6" s="288">
        <f>I6*$F6</f>
        <v>0.05</v>
      </c>
      <c r="K6" s="363">
        <v>1</v>
      </c>
      <c r="L6" s="288">
        <f>K6*$F6</f>
        <v>0.05</v>
      </c>
      <c r="M6" s="351">
        <v>1</v>
      </c>
      <c r="N6" s="288">
        <f>M6*$F6</f>
        <v>0.05</v>
      </c>
      <c r="O6" s="372">
        <f>AVERAGE(J6,L6,N6)</f>
        <v>5.000000000000001E-2</v>
      </c>
      <c r="P6" s="373" t="s">
        <v>21</v>
      </c>
      <c r="Q6" s="324" t="s">
        <v>22</v>
      </c>
    </row>
    <row r="7" spans="1:17" ht="18.600000000000001" customHeight="1" thickTop="1" thickBot="1" x14ac:dyDescent="0.35">
      <c r="A7" s="345"/>
      <c r="B7" s="280"/>
      <c r="C7" s="307"/>
      <c r="D7" s="280"/>
      <c r="E7" s="346"/>
      <c r="F7" s="280"/>
      <c r="G7" s="38" t="s">
        <v>23</v>
      </c>
      <c r="H7" s="192">
        <v>0.8</v>
      </c>
      <c r="I7" s="354"/>
      <c r="J7" s="289"/>
      <c r="K7" s="289"/>
      <c r="L7" s="289"/>
      <c r="M7" s="289"/>
      <c r="N7" s="289"/>
      <c r="O7" s="370"/>
      <c r="P7" s="293"/>
      <c r="Q7" s="280"/>
    </row>
    <row r="8" spans="1:17" ht="45" customHeight="1" thickTop="1" thickBot="1" x14ac:dyDescent="0.35">
      <c r="A8" s="345"/>
      <c r="B8" s="280"/>
      <c r="C8" s="307"/>
      <c r="D8" s="280"/>
      <c r="E8" s="276"/>
      <c r="F8" s="276"/>
      <c r="G8" s="38" t="s">
        <v>24</v>
      </c>
      <c r="H8" s="21">
        <v>0.5</v>
      </c>
      <c r="I8" s="355"/>
      <c r="J8" s="290"/>
      <c r="K8" s="290"/>
      <c r="L8" s="290"/>
      <c r="M8" s="290"/>
      <c r="N8" s="290"/>
      <c r="O8" s="371"/>
      <c r="P8" s="294"/>
      <c r="Q8" s="276"/>
    </row>
    <row r="9" spans="1:17" ht="97.5" customHeight="1" thickTop="1" thickBot="1" x14ac:dyDescent="0.35">
      <c r="A9" s="276"/>
      <c r="B9" s="276"/>
      <c r="C9" s="276"/>
      <c r="D9" s="276"/>
      <c r="E9" s="10" t="s">
        <v>25</v>
      </c>
      <c r="F9" s="22">
        <f>$B$2/4</f>
        <v>0.05</v>
      </c>
      <c r="G9" s="38" t="s">
        <v>26</v>
      </c>
      <c r="H9" s="21" t="s">
        <v>27</v>
      </c>
      <c r="I9" s="267">
        <v>1</v>
      </c>
      <c r="J9" s="139">
        <f>I9*$F9</f>
        <v>0.05</v>
      </c>
      <c r="K9" s="189">
        <v>1</v>
      </c>
      <c r="L9" s="139">
        <f>K9*$F9</f>
        <v>0.05</v>
      </c>
      <c r="M9" s="256">
        <v>1</v>
      </c>
      <c r="N9" s="139">
        <f>M9*$F9</f>
        <v>0.05</v>
      </c>
      <c r="O9" s="266">
        <f>AVERAGE(J9,L9,N9)</f>
        <v>5.000000000000001E-2</v>
      </c>
      <c r="P9" s="261" t="s">
        <v>98</v>
      </c>
      <c r="Q9" s="10" t="s">
        <v>22</v>
      </c>
    </row>
    <row r="10" spans="1:17" ht="102" customHeight="1" thickTop="1" thickBot="1" x14ac:dyDescent="0.35">
      <c r="A10" s="286" t="s">
        <v>29</v>
      </c>
      <c r="B10" s="302">
        <v>0.25</v>
      </c>
      <c r="C10" s="28" t="s">
        <v>77</v>
      </c>
      <c r="D10" s="18">
        <v>0.1</v>
      </c>
      <c r="E10" s="8" t="s">
        <v>81</v>
      </c>
      <c r="F10" s="18">
        <f>(20%/2)</f>
        <v>0.1</v>
      </c>
      <c r="G10" s="30" t="s">
        <v>82</v>
      </c>
      <c r="H10" s="17" t="s">
        <v>27</v>
      </c>
      <c r="I10" s="264">
        <v>1</v>
      </c>
      <c r="J10" s="144">
        <f>I10*$F10</f>
        <v>0.1</v>
      </c>
      <c r="K10" s="41">
        <v>1</v>
      </c>
      <c r="L10" s="147">
        <f>K10*$F10</f>
        <v>0.1</v>
      </c>
      <c r="M10" s="257">
        <v>0.9375</v>
      </c>
      <c r="N10" s="190">
        <f>M10*$F10</f>
        <v>9.375E-2</v>
      </c>
      <c r="O10" s="268">
        <f>AVERAGE(J10,L10,N10)</f>
        <v>9.7916666666666666E-2</v>
      </c>
      <c r="P10" s="238" t="s">
        <v>107</v>
      </c>
      <c r="Q10" s="8" t="s">
        <v>22</v>
      </c>
    </row>
    <row r="11" spans="1:17" ht="345" customHeight="1" thickTop="1" thickBot="1" x14ac:dyDescent="0.35">
      <c r="A11" s="345"/>
      <c r="B11" s="280"/>
      <c r="C11" s="28" t="s">
        <v>84</v>
      </c>
      <c r="D11" s="18">
        <v>0.1</v>
      </c>
      <c r="E11" s="8" t="s">
        <v>85</v>
      </c>
      <c r="F11" s="18">
        <f>(20%/2)</f>
        <v>0.1</v>
      </c>
      <c r="G11" s="30" t="s">
        <v>85</v>
      </c>
      <c r="H11" s="17" t="s">
        <v>27</v>
      </c>
      <c r="I11" s="359">
        <v>0.65720000000000001</v>
      </c>
      <c r="J11" s="276"/>
      <c r="K11" s="276"/>
      <c r="L11" s="276"/>
      <c r="M11" s="276"/>
      <c r="N11" s="300"/>
      <c r="O11" s="268">
        <f>I11*D11</f>
        <v>6.5720000000000001E-2</v>
      </c>
      <c r="P11" s="238" t="s">
        <v>108</v>
      </c>
      <c r="Q11" s="8" t="s">
        <v>43</v>
      </c>
    </row>
    <row r="12" spans="1:17" ht="63.75" customHeight="1" thickTop="1" thickBot="1" x14ac:dyDescent="0.35">
      <c r="A12" s="345"/>
      <c r="B12" s="280"/>
      <c r="C12" s="28" t="s">
        <v>30</v>
      </c>
      <c r="D12" s="18">
        <v>0.03</v>
      </c>
      <c r="E12" s="8" t="s">
        <v>31</v>
      </c>
      <c r="F12" s="18">
        <v>0.03</v>
      </c>
      <c r="G12" s="30" t="s">
        <v>32</v>
      </c>
      <c r="H12" s="17" t="s">
        <v>27</v>
      </c>
      <c r="I12" s="269">
        <v>1</v>
      </c>
      <c r="J12" s="144">
        <f>I12*$F12</f>
        <v>0.03</v>
      </c>
      <c r="K12" s="145">
        <v>1</v>
      </c>
      <c r="L12" s="144">
        <f>K12*$F12</f>
        <v>0.03</v>
      </c>
      <c r="M12" s="184">
        <v>1</v>
      </c>
      <c r="N12" s="144">
        <f>M12*$F12</f>
        <v>0.03</v>
      </c>
      <c r="O12" s="268">
        <f>AVERAGE(J12,L12,N12)</f>
        <v>0.03</v>
      </c>
      <c r="P12" s="262" t="s">
        <v>109</v>
      </c>
      <c r="Q12" s="8" t="s">
        <v>22</v>
      </c>
    </row>
    <row r="13" spans="1:17" ht="156.75" customHeight="1" thickTop="1" thickBot="1" x14ac:dyDescent="0.35">
      <c r="A13" s="276"/>
      <c r="B13" s="276"/>
      <c r="C13" s="29" t="s">
        <v>34</v>
      </c>
      <c r="D13" s="15">
        <v>0.02</v>
      </c>
      <c r="E13" s="16" t="s">
        <v>35</v>
      </c>
      <c r="F13" s="15">
        <v>0.02</v>
      </c>
      <c r="G13" s="33" t="s">
        <v>36</v>
      </c>
      <c r="H13" s="2" t="s">
        <v>27</v>
      </c>
      <c r="I13" s="269">
        <v>0.22</v>
      </c>
      <c r="J13" s="144">
        <f>I13*$F13</f>
        <v>4.4000000000000003E-3</v>
      </c>
      <c r="K13" s="145">
        <v>0.19289999999999999</v>
      </c>
      <c r="L13" s="144">
        <f>K13*$F13</f>
        <v>3.8579999999999999E-3</v>
      </c>
      <c r="M13" s="184">
        <v>0.22409999999999999</v>
      </c>
      <c r="N13" s="144">
        <f>M13*$F13</f>
        <v>4.4819999999999999E-3</v>
      </c>
      <c r="O13" s="268">
        <f>AVERAGE(J13,L13,N13)</f>
        <v>4.2466666666666668E-3</v>
      </c>
      <c r="P13" s="262" t="s">
        <v>110</v>
      </c>
      <c r="Q13" s="8" t="s">
        <v>22</v>
      </c>
    </row>
    <row r="14" spans="1:17" ht="318.60000000000002" customHeight="1" thickTop="1" thickBot="1" x14ac:dyDescent="0.35">
      <c r="A14" s="286" t="s">
        <v>38</v>
      </c>
      <c r="B14" s="302">
        <v>0.25</v>
      </c>
      <c r="C14" s="295" t="s">
        <v>39</v>
      </c>
      <c r="D14" s="275">
        <f>B14</f>
        <v>0.25</v>
      </c>
      <c r="E14" s="12" t="s">
        <v>40</v>
      </c>
      <c r="F14" s="14">
        <f>D14*0.8</f>
        <v>0.2</v>
      </c>
      <c r="G14" s="34" t="s">
        <v>41</v>
      </c>
      <c r="H14" s="11" t="s">
        <v>27</v>
      </c>
      <c r="I14" s="364">
        <f>((4)/(7))</f>
        <v>0.5714285714285714</v>
      </c>
      <c r="J14" s="282"/>
      <c r="K14" s="282"/>
      <c r="L14" s="282"/>
      <c r="M14" s="282"/>
      <c r="N14" s="282"/>
      <c r="O14" s="270">
        <f>I14*$F14</f>
        <v>0.11428571428571428</v>
      </c>
      <c r="P14" s="377" t="s">
        <v>111</v>
      </c>
      <c r="Q14" s="8" t="s">
        <v>22</v>
      </c>
    </row>
    <row r="15" spans="1:17" ht="318.60000000000002" customHeight="1" thickTop="1" thickBot="1" x14ac:dyDescent="0.35">
      <c r="A15" s="276"/>
      <c r="B15" s="276"/>
      <c r="C15" s="276"/>
      <c r="D15" s="276"/>
      <c r="E15" s="10" t="s">
        <v>44</v>
      </c>
      <c r="F15" s="13">
        <f>D14*0.2</f>
        <v>0.05</v>
      </c>
      <c r="G15" s="32" t="s">
        <v>45</v>
      </c>
      <c r="H15" s="9" t="s">
        <v>27</v>
      </c>
      <c r="I15" s="358">
        <f>((2)/(4))</f>
        <v>0.5</v>
      </c>
      <c r="J15" s="282"/>
      <c r="K15" s="282"/>
      <c r="L15" s="282"/>
      <c r="M15" s="282"/>
      <c r="N15" s="282"/>
      <c r="O15" s="270">
        <f>I15*$F15</f>
        <v>2.5000000000000001E-2</v>
      </c>
      <c r="P15" s="276"/>
      <c r="Q15" s="10" t="s">
        <v>43</v>
      </c>
    </row>
    <row r="16" spans="1:17" ht="66" customHeight="1" thickTop="1" thickBot="1" x14ac:dyDescent="0.35">
      <c r="A16" s="286" t="s">
        <v>47</v>
      </c>
      <c r="B16" s="302">
        <v>0.3</v>
      </c>
      <c r="C16" s="295" t="s">
        <v>48</v>
      </c>
      <c r="D16" s="275">
        <f>$B$16/2</f>
        <v>0.15</v>
      </c>
      <c r="E16" s="324" t="s">
        <v>49</v>
      </c>
      <c r="F16" s="275">
        <f>$B$16/2</f>
        <v>0.15</v>
      </c>
      <c r="G16" s="36" t="s">
        <v>50</v>
      </c>
      <c r="H16" s="11">
        <v>1</v>
      </c>
      <c r="I16" s="356">
        <v>1</v>
      </c>
      <c r="J16" s="298"/>
      <c r="K16" s="298"/>
      <c r="L16" s="298"/>
      <c r="M16" s="298"/>
      <c r="N16" s="299"/>
      <c r="O16" s="360">
        <f>I16*$F16</f>
        <v>0.15</v>
      </c>
      <c r="P16" s="333" t="s">
        <v>94</v>
      </c>
      <c r="Q16" s="10" t="s">
        <v>43</v>
      </c>
    </row>
    <row r="17" spans="1:17" ht="66" customHeight="1" thickTop="1" thickBot="1" x14ac:dyDescent="0.35">
      <c r="A17" s="345"/>
      <c r="B17" s="280"/>
      <c r="C17" s="276"/>
      <c r="D17" s="276"/>
      <c r="E17" s="276"/>
      <c r="F17" s="276"/>
      <c r="G17" s="37" t="s">
        <v>52</v>
      </c>
      <c r="H17" s="9">
        <v>0</v>
      </c>
      <c r="I17" s="297"/>
      <c r="J17" s="276"/>
      <c r="K17" s="276"/>
      <c r="L17" s="276"/>
      <c r="M17" s="276"/>
      <c r="N17" s="300"/>
      <c r="O17" s="361"/>
      <c r="P17" s="276"/>
      <c r="Q17" s="319" t="s">
        <v>43</v>
      </c>
    </row>
    <row r="18" spans="1:17" ht="82.2" customHeight="1" thickTop="1" thickBot="1" x14ac:dyDescent="0.35">
      <c r="A18" s="276"/>
      <c r="B18" s="276"/>
      <c r="C18" s="35" t="s">
        <v>53</v>
      </c>
      <c r="D18" s="6">
        <v>0.15</v>
      </c>
      <c r="E18" s="7" t="s">
        <v>54</v>
      </c>
      <c r="F18" s="6">
        <v>0.15</v>
      </c>
      <c r="G18" s="30" t="s">
        <v>55</v>
      </c>
      <c r="H18" s="6">
        <v>1</v>
      </c>
      <c r="I18" s="366">
        <v>0.55130000000000001</v>
      </c>
      <c r="J18" s="367"/>
      <c r="K18" s="367"/>
      <c r="L18" s="367"/>
      <c r="M18" s="367"/>
      <c r="N18" s="368"/>
      <c r="O18" s="271">
        <f>I18*$F18</f>
        <v>8.2695000000000005E-2</v>
      </c>
      <c r="P18" s="263" t="s">
        <v>112</v>
      </c>
      <c r="Q18" s="280"/>
    </row>
    <row r="19" spans="1:17" ht="26.7" customHeight="1" thickTop="1" thickBot="1" x14ac:dyDescent="0.4">
      <c r="L19" s="5" t="s">
        <v>57</v>
      </c>
      <c r="M19" s="5"/>
      <c r="N19" s="5"/>
      <c r="O19" s="4">
        <f>SUM(O2:O18)</f>
        <v>0.76778071428571437</v>
      </c>
      <c r="Q19" s="8" t="s">
        <v>43</v>
      </c>
    </row>
    <row r="20" spans="1:17" ht="18.600000000000001" customHeight="1" thickTop="1" x14ac:dyDescent="0.35"/>
  </sheetData>
  <mergeCells count="49">
    <mergeCell ref="Q6:Q8"/>
    <mergeCell ref="D6:D9"/>
    <mergeCell ref="K2:K4"/>
    <mergeCell ref="I18:N18"/>
    <mergeCell ref="O2:O4"/>
    <mergeCell ref="O6:O8"/>
    <mergeCell ref="Q17:Q18"/>
    <mergeCell ref="P6:P8"/>
    <mergeCell ref="P2:P4"/>
    <mergeCell ref="P14:P15"/>
    <mergeCell ref="C16:C17"/>
    <mergeCell ref="Q2:Q4"/>
    <mergeCell ref="N6:N8"/>
    <mergeCell ref="O16:O17"/>
    <mergeCell ref="B14:B15"/>
    <mergeCell ref="D2:D5"/>
    <mergeCell ref="I6:I8"/>
    <mergeCell ref="K6:K8"/>
    <mergeCell ref="L6:L8"/>
    <mergeCell ref="I14:N14"/>
    <mergeCell ref="J2:J4"/>
    <mergeCell ref="L2:L4"/>
    <mergeCell ref="D16:D17"/>
    <mergeCell ref="P16:P17"/>
    <mergeCell ref="B2:B9"/>
    <mergeCell ref="B16:B18"/>
    <mergeCell ref="D14:D15"/>
    <mergeCell ref="A10:A13"/>
    <mergeCell ref="E6:E8"/>
    <mergeCell ref="I15:N15"/>
    <mergeCell ref="M6:M8"/>
    <mergeCell ref="I11:N11"/>
    <mergeCell ref="A2:A9"/>
    <mergeCell ref="A16:A18"/>
    <mergeCell ref="F2:F4"/>
    <mergeCell ref="N2:N4"/>
    <mergeCell ref="F16:F17"/>
    <mergeCell ref="C6:C9"/>
    <mergeCell ref="C14:C15"/>
    <mergeCell ref="E2:E4"/>
    <mergeCell ref="B10:B13"/>
    <mergeCell ref="A14:A15"/>
    <mergeCell ref="F6:F8"/>
    <mergeCell ref="I2:I4"/>
    <mergeCell ref="I16:N17"/>
    <mergeCell ref="C2:C5"/>
    <mergeCell ref="M2:M4"/>
    <mergeCell ref="J6:J8"/>
    <mergeCell ref="E16:E17"/>
  </mergeCells>
  <printOptions horizontalCentered="1"/>
  <pageMargins left="0.23622047244094491" right="0.23622047244094491" top="0.74803149606299213" bottom="0.74803149606299213" header="0.31496062992125978" footer="0.31496062992125978"/>
  <pageSetup scale="44" fitToHeight="0" orientation="landscape"/>
  <rowBreaks count="1" manualBreakCount="1">
    <brk id="1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tabColor theme="7" tint="0.39997558519241921"/>
  </sheetPr>
  <dimension ref="A1:Q26"/>
  <sheetViews>
    <sheetView topLeftCell="A20" zoomScale="60" zoomScaleNormal="60" zoomScaleSheetLayoutView="90" workbookViewId="0">
      <selection activeCell="A2" sqref="A2:A13"/>
    </sheetView>
  </sheetViews>
  <sheetFormatPr baseColWidth="10" defaultColWidth="11.44140625" defaultRowHeight="14.4" x14ac:dyDescent="0.3"/>
  <cols>
    <col min="1" max="1" width="20.6640625" style="3" customWidth="1"/>
    <col min="2" max="2" width="9.109375" customWidth="1"/>
    <col min="3" max="3" width="19.6640625" style="2" customWidth="1"/>
    <col min="4" max="4" width="9.33203125" customWidth="1"/>
    <col min="5" max="5" width="40.6640625" style="1" customWidth="1"/>
    <col min="6" max="6" width="8" customWidth="1"/>
    <col min="7" max="7" width="59.109375" customWidth="1"/>
    <col min="8" max="8" width="10.109375" style="136" customWidth="1"/>
    <col min="9" max="15" width="15.44140625" customWidth="1"/>
    <col min="16" max="16" width="95.109375" customWidth="1"/>
    <col min="17" max="23" width="39.3320312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54" t="s">
        <v>16</v>
      </c>
    </row>
    <row r="2" spans="1:17" ht="41.25" customHeight="1" thickTop="1" thickBot="1" x14ac:dyDescent="0.35">
      <c r="A2" s="344" t="s">
        <v>17</v>
      </c>
      <c r="B2" s="302">
        <v>0.2</v>
      </c>
      <c r="C2" s="306" t="s">
        <v>77</v>
      </c>
      <c r="D2" s="285">
        <f>$B$2/3</f>
        <v>6.6666666666666666E-2</v>
      </c>
      <c r="E2" s="324" t="s">
        <v>19</v>
      </c>
      <c r="F2" s="312">
        <f>$B$2/6</f>
        <v>3.3333333333333333E-2</v>
      </c>
      <c r="G2" s="38" t="s">
        <v>20</v>
      </c>
      <c r="H2" s="191">
        <v>1</v>
      </c>
      <c r="I2" s="292">
        <v>1</v>
      </c>
      <c r="J2" s="288">
        <f>I2*$F2</f>
        <v>3.3333333333333333E-2</v>
      </c>
      <c r="K2" s="301">
        <v>0.96699999999999997</v>
      </c>
      <c r="L2" s="288">
        <f>K2*$F2</f>
        <v>3.2233333333333329E-2</v>
      </c>
      <c r="M2" s="351">
        <v>1</v>
      </c>
      <c r="N2" s="288">
        <f>M2*$F2</f>
        <v>3.3333333333333333E-2</v>
      </c>
      <c r="O2" s="303">
        <f>AVERAGE(J2,L2,N2)</f>
        <v>3.2966666666666665E-2</v>
      </c>
      <c r="P2" s="379" t="s">
        <v>113</v>
      </c>
      <c r="Q2" s="324" t="s">
        <v>22</v>
      </c>
    </row>
    <row r="3" spans="1:17" ht="69.75" customHeight="1" thickTop="1" thickBot="1" x14ac:dyDescent="0.35">
      <c r="A3" s="345"/>
      <c r="B3" s="280"/>
      <c r="C3" s="307"/>
      <c r="D3" s="280"/>
      <c r="E3" s="346"/>
      <c r="F3" s="280"/>
      <c r="G3" s="38" t="s">
        <v>23</v>
      </c>
      <c r="H3" s="192">
        <v>0.8</v>
      </c>
      <c r="I3" s="293"/>
      <c r="J3" s="289"/>
      <c r="K3" s="289"/>
      <c r="L3" s="289"/>
      <c r="M3" s="289"/>
      <c r="N3" s="289"/>
      <c r="O3" s="304"/>
      <c r="P3" s="322"/>
      <c r="Q3" s="280"/>
    </row>
    <row r="4" spans="1:17" ht="70.5" customHeight="1" thickTop="1" thickBot="1" x14ac:dyDescent="0.35">
      <c r="A4" s="345"/>
      <c r="B4" s="280"/>
      <c r="C4" s="307"/>
      <c r="D4" s="280"/>
      <c r="E4" s="276"/>
      <c r="F4" s="276"/>
      <c r="G4" s="38" t="s">
        <v>24</v>
      </c>
      <c r="H4" s="21">
        <v>0</v>
      </c>
      <c r="I4" s="294"/>
      <c r="J4" s="290"/>
      <c r="K4" s="290"/>
      <c r="L4" s="290"/>
      <c r="M4" s="290"/>
      <c r="N4" s="290"/>
      <c r="O4" s="305"/>
      <c r="P4" s="323"/>
      <c r="Q4" s="276"/>
    </row>
    <row r="5" spans="1:17" ht="139.5" customHeight="1" thickTop="1" thickBot="1" x14ac:dyDescent="0.35">
      <c r="A5" s="345"/>
      <c r="B5" s="280"/>
      <c r="C5" s="276"/>
      <c r="D5" s="276"/>
      <c r="E5" s="10" t="s">
        <v>25</v>
      </c>
      <c r="F5" s="22">
        <f>$B$2/6</f>
        <v>3.3333333333333333E-2</v>
      </c>
      <c r="G5" s="38" t="s">
        <v>26</v>
      </c>
      <c r="H5" s="21" t="s">
        <v>27</v>
      </c>
      <c r="I5" s="138">
        <v>1</v>
      </c>
      <c r="J5" s="139">
        <f>I5*$F5</f>
        <v>3.3333333333333333E-2</v>
      </c>
      <c r="K5" s="140">
        <v>1</v>
      </c>
      <c r="L5" s="139">
        <f>K5*$F5</f>
        <v>3.3333333333333333E-2</v>
      </c>
      <c r="M5" s="229">
        <v>1</v>
      </c>
      <c r="N5" s="139">
        <f>M5*$F5</f>
        <v>3.3333333333333333E-2</v>
      </c>
      <c r="O5" s="142">
        <f>AVERAGE(J5,L5,N5)</f>
        <v>3.3333333333333333E-2</v>
      </c>
      <c r="P5" s="197" t="s">
        <v>114</v>
      </c>
      <c r="Q5" s="10" t="s">
        <v>22</v>
      </c>
    </row>
    <row r="6" spans="1:17" ht="18.600000000000001" customHeight="1" thickTop="1" thickBot="1" x14ac:dyDescent="0.35">
      <c r="A6" s="345"/>
      <c r="B6" s="280"/>
      <c r="C6" s="306" t="s">
        <v>115</v>
      </c>
      <c r="D6" s="285">
        <f>$B$2/3</f>
        <v>6.6666666666666666E-2</v>
      </c>
      <c r="E6" s="324" t="s">
        <v>19</v>
      </c>
      <c r="F6" s="312">
        <f>$B$2/6</f>
        <v>3.3333333333333333E-2</v>
      </c>
      <c r="G6" s="38" t="s">
        <v>20</v>
      </c>
      <c r="H6" s="191">
        <v>1</v>
      </c>
      <c r="I6" s="292">
        <v>0</v>
      </c>
      <c r="J6" s="288">
        <f>I6*$F6</f>
        <v>0</v>
      </c>
      <c r="K6" s="301">
        <v>0.66669999999999996</v>
      </c>
      <c r="L6" s="288">
        <f>K6*$F6</f>
        <v>2.2223333333333331E-2</v>
      </c>
      <c r="M6" s="351">
        <v>0</v>
      </c>
      <c r="N6" s="288">
        <f>M6*$F6</f>
        <v>0</v>
      </c>
      <c r="O6" s="303">
        <f>AVERAGE(J6,L6,N6)</f>
        <v>7.407777777777777E-3</v>
      </c>
      <c r="P6" s="379" t="s">
        <v>116</v>
      </c>
      <c r="Q6" s="324" t="s">
        <v>22</v>
      </c>
    </row>
    <row r="7" spans="1:17" ht="18.600000000000001" customHeight="1" thickTop="1" thickBot="1" x14ac:dyDescent="0.35">
      <c r="A7" s="345"/>
      <c r="B7" s="280"/>
      <c r="C7" s="307"/>
      <c r="D7" s="280"/>
      <c r="E7" s="346"/>
      <c r="F7" s="280"/>
      <c r="G7" s="38" t="s">
        <v>23</v>
      </c>
      <c r="H7" s="192">
        <v>0.8</v>
      </c>
      <c r="I7" s="293"/>
      <c r="J7" s="289"/>
      <c r="K7" s="289"/>
      <c r="L7" s="289"/>
      <c r="M7" s="289"/>
      <c r="N7" s="289"/>
      <c r="O7" s="304"/>
      <c r="P7" s="322"/>
      <c r="Q7" s="280"/>
    </row>
    <row r="8" spans="1:17" ht="75.75" customHeight="1" thickTop="1" thickBot="1" x14ac:dyDescent="0.35">
      <c r="A8" s="345"/>
      <c r="B8" s="280"/>
      <c r="C8" s="307"/>
      <c r="D8" s="280"/>
      <c r="E8" s="276"/>
      <c r="F8" s="276"/>
      <c r="G8" s="38" t="s">
        <v>24</v>
      </c>
      <c r="H8" s="21">
        <v>0</v>
      </c>
      <c r="I8" s="294"/>
      <c r="J8" s="290"/>
      <c r="K8" s="290"/>
      <c r="L8" s="290"/>
      <c r="M8" s="290"/>
      <c r="N8" s="290"/>
      <c r="O8" s="305"/>
      <c r="P8" s="323"/>
      <c r="Q8" s="276"/>
    </row>
    <row r="9" spans="1:17" ht="83.25" customHeight="1" thickTop="1" thickBot="1" x14ac:dyDescent="0.35">
      <c r="A9" s="345"/>
      <c r="B9" s="280"/>
      <c r="C9" s="276"/>
      <c r="D9" s="276"/>
      <c r="E9" s="10" t="s">
        <v>25</v>
      </c>
      <c r="F9" s="22">
        <f>$B$2/6</f>
        <v>3.3333333333333333E-2</v>
      </c>
      <c r="G9" s="38" t="s">
        <v>26</v>
      </c>
      <c r="H9" s="21" t="s">
        <v>27</v>
      </c>
      <c r="I9" s="138">
        <v>0.56669999999999998</v>
      </c>
      <c r="J9" s="139">
        <f>I9*$F9</f>
        <v>1.8890000000000001E-2</v>
      </c>
      <c r="K9" s="140">
        <v>0.4667</v>
      </c>
      <c r="L9" s="139">
        <f>K9*$F9</f>
        <v>1.5556666666666667E-2</v>
      </c>
      <c r="M9" s="229">
        <v>0.33329999999999999</v>
      </c>
      <c r="N9" s="139">
        <f>M9*$F9</f>
        <v>1.111E-2</v>
      </c>
      <c r="O9" s="142">
        <f>AVERAGE(J9,L9,N9)</f>
        <v>1.5185555555555556E-2</v>
      </c>
      <c r="P9" s="197" t="s">
        <v>117</v>
      </c>
      <c r="Q9" s="10" t="s">
        <v>22</v>
      </c>
    </row>
    <row r="10" spans="1:17" ht="18.600000000000001" customHeight="1" thickTop="1" thickBot="1" x14ac:dyDescent="0.35">
      <c r="A10" s="345"/>
      <c r="B10" s="280"/>
      <c r="C10" s="306" t="s">
        <v>18</v>
      </c>
      <c r="D10" s="285">
        <f>$B$2/3</f>
        <v>6.6666666666666666E-2</v>
      </c>
      <c r="E10" s="324" t="s">
        <v>19</v>
      </c>
      <c r="F10" s="312">
        <f>$B$2/6</f>
        <v>3.3333333333333333E-2</v>
      </c>
      <c r="G10" s="38" t="s">
        <v>20</v>
      </c>
      <c r="H10" s="191">
        <v>1</v>
      </c>
      <c r="I10" s="292">
        <v>1</v>
      </c>
      <c r="J10" s="288">
        <f>I10*$F10</f>
        <v>3.3333333333333333E-2</v>
      </c>
      <c r="K10" s="301">
        <v>1</v>
      </c>
      <c r="L10" s="288">
        <f>K10*$F10</f>
        <v>3.3333333333333333E-2</v>
      </c>
      <c r="M10" s="351">
        <v>1</v>
      </c>
      <c r="N10" s="288">
        <f>M10*$F10</f>
        <v>3.3333333333333333E-2</v>
      </c>
      <c r="O10" s="303">
        <f>AVERAGE(J10,L10,N10)</f>
        <v>3.3333333333333333E-2</v>
      </c>
      <c r="P10" s="378" t="s">
        <v>21</v>
      </c>
      <c r="Q10" s="324" t="s">
        <v>22</v>
      </c>
    </row>
    <row r="11" spans="1:17" ht="18.600000000000001" customHeight="1" thickTop="1" thickBot="1" x14ac:dyDescent="0.35">
      <c r="A11" s="345"/>
      <c r="B11" s="280"/>
      <c r="C11" s="307"/>
      <c r="D11" s="280"/>
      <c r="E11" s="346"/>
      <c r="F11" s="280"/>
      <c r="G11" s="38" t="s">
        <v>23</v>
      </c>
      <c r="H11" s="192">
        <v>0.8</v>
      </c>
      <c r="I11" s="293"/>
      <c r="J11" s="289"/>
      <c r="K11" s="289"/>
      <c r="L11" s="289"/>
      <c r="M11" s="289"/>
      <c r="N11" s="289"/>
      <c r="O11" s="304"/>
      <c r="P11" s="289"/>
      <c r="Q11" s="280"/>
    </row>
    <row r="12" spans="1:17" ht="71.400000000000006" customHeight="1" thickTop="1" thickBot="1" x14ac:dyDescent="0.35">
      <c r="A12" s="345"/>
      <c r="B12" s="280"/>
      <c r="C12" s="307"/>
      <c r="D12" s="280"/>
      <c r="E12" s="276"/>
      <c r="F12" s="276"/>
      <c r="G12" s="38" t="s">
        <v>24</v>
      </c>
      <c r="H12" s="21">
        <v>0.5</v>
      </c>
      <c r="I12" s="294"/>
      <c r="J12" s="290"/>
      <c r="K12" s="290"/>
      <c r="L12" s="290"/>
      <c r="M12" s="290"/>
      <c r="N12" s="290"/>
      <c r="O12" s="305"/>
      <c r="P12" s="290"/>
      <c r="Q12" s="276"/>
    </row>
    <row r="13" spans="1:17" ht="118.2" customHeight="1" thickTop="1" thickBot="1" x14ac:dyDescent="0.35">
      <c r="A13" s="276"/>
      <c r="B13" s="276"/>
      <c r="C13" s="276"/>
      <c r="D13" s="276"/>
      <c r="E13" s="10" t="s">
        <v>25</v>
      </c>
      <c r="F13" s="22">
        <f>$B$2/6</f>
        <v>3.3333333333333333E-2</v>
      </c>
      <c r="G13" s="38" t="s">
        <v>26</v>
      </c>
      <c r="H13" s="21" t="s">
        <v>27</v>
      </c>
      <c r="I13" s="138">
        <v>1</v>
      </c>
      <c r="J13" s="139">
        <f>I13*$F13</f>
        <v>3.3333333333333333E-2</v>
      </c>
      <c r="K13" s="140">
        <v>1</v>
      </c>
      <c r="L13" s="139">
        <f>K13*$F13</f>
        <v>3.3333333333333333E-2</v>
      </c>
      <c r="M13" s="229">
        <v>1</v>
      </c>
      <c r="N13" s="139">
        <f>M13*$F13</f>
        <v>3.3333333333333333E-2</v>
      </c>
      <c r="O13" s="142">
        <f>AVERAGE(J13,L13,N13)</f>
        <v>3.3333333333333333E-2</v>
      </c>
      <c r="P13" s="187" t="s">
        <v>98</v>
      </c>
      <c r="Q13" s="10" t="s">
        <v>22</v>
      </c>
    </row>
    <row r="14" spans="1:17" ht="139.19999999999999" customHeight="1" thickTop="1" thickBot="1" x14ac:dyDescent="0.35">
      <c r="A14" s="286" t="s">
        <v>29</v>
      </c>
      <c r="B14" s="302">
        <v>0.25</v>
      </c>
      <c r="C14" s="28" t="s">
        <v>77</v>
      </c>
      <c r="D14" s="18">
        <v>0.05</v>
      </c>
      <c r="E14" s="8" t="s">
        <v>81</v>
      </c>
      <c r="F14" s="18">
        <v>0.05</v>
      </c>
      <c r="G14" s="30" t="s">
        <v>82</v>
      </c>
      <c r="H14" s="17" t="s">
        <v>27</v>
      </c>
      <c r="I14" s="143">
        <v>1</v>
      </c>
      <c r="J14" s="144">
        <f>I14*$F14</f>
        <v>0.05</v>
      </c>
      <c r="K14" s="145">
        <v>0.98350000000000004</v>
      </c>
      <c r="L14" s="144">
        <f>K14*$F14</f>
        <v>4.9175000000000003E-2</v>
      </c>
      <c r="M14" s="231">
        <v>1</v>
      </c>
      <c r="N14" s="144">
        <f>M14*$F14</f>
        <v>0.05</v>
      </c>
      <c r="O14" s="147">
        <f>AVERAGE(J14,L14,N14)</f>
        <v>4.9724999999999998E-2</v>
      </c>
      <c r="P14" s="157" t="s">
        <v>118</v>
      </c>
      <c r="Q14" s="8" t="s">
        <v>22</v>
      </c>
    </row>
    <row r="15" spans="1:17" s="39" customFormat="1" ht="136.19999999999999" customHeight="1" thickTop="1" thickBot="1" x14ac:dyDescent="0.35">
      <c r="A15" s="380"/>
      <c r="B15" s="380"/>
      <c r="C15" s="43" t="s">
        <v>115</v>
      </c>
      <c r="D15" s="44">
        <v>0.05</v>
      </c>
      <c r="E15" s="45" t="s">
        <v>119</v>
      </c>
      <c r="F15" s="44">
        <v>0.05</v>
      </c>
      <c r="G15" s="46" t="s">
        <v>120</v>
      </c>
      <c r="H15" s="47" t="s">
        <v>27</v>
      </c>
      <c r="I15" s="143">
        <v>0.4</v>
      </c>
      <c r="J15" s="144">
        <f>I15*$F15</f>
        <v>2.0000000000000004E-2</v>
      </c>
      <c r="K15" s="145">
        <v>0.38669999999999999</v>
      </c>
      <c r="L15" s="144">
        <f>K15*$F15</f>
        <v>1.9335000000000001E-2</v>
      </c>
      <c r="M15" s="231">
        <v>0.4</v>
      </c>
      <c r="N15" s="144">
        <f>M15*$F15</f>
        <v>2.0000000000000004E-2</v>
      </c>
      <c r="O15" s="147">
        <f>AVERAGE(J15,L15,N15)</f>
        <v>1.9778333333333339E-2</v>
      </c>
      <c r="P15" s="157" t="s">
        <v>121</v>
      </c>
      <c r="Q15" s="45" t="s">
        <v>22</v>
      </c>
    </row>
    <row r="16" spans="1:17" ht="297.60000000000002" customHeight="1" thickTop="1" thickBot="1" x14ac:dyDescent="0.35">
      <c r="A16" s="345"/>
      <c r="B16" s="280"/>
      <c r="C16" s="28" t="s">
        <v>84</v>
      </c>
      <c r="D16" s="18">
        <v>0.05</v>
      </c>
      <c r="E16" s="8" t="s">
        <v>85</v>
      </c>
      <c r="F16" s="18">
        <v>0.05</v>
      </c>
      <c r="G16" s="30" t="s">
        <v>85</v>
      </c>
      <c r="H16" s="17" t="s">
        <v>27</v>
      </c>
      <c r="I16" s="281">
        <v>0.72689999999999999</v>
      </c>
      <c r="J16" s="282"/>
      <c r="K16" s="282"/>
      <c r="L16" s="282"/>
      <c r="M16" s="282"/>
      <c r="N16" s="283"/>
      <c r="O16" s="147">
        <f>I16*D16</f>
        <v>3.6345000000000002E-2</v>
      </c>
      <c r="P16" s="157" t="s">
        <v>122</v>
      </c>
      <c r="Q16" s="8" t="s">
        <v>43</v>
      </c>
    </row>
    <row r="17" spans="1:17" ht="60.6" customHeight="1" thickTop="1" thickBot="1" x14ac:dyDescent="0.35">
      <c r="A17" s="345"/>
      <c r="B17" s="280"/>
      <c r="C17" s="27" t="s">
        <v>87</v>
      </c>
      <c r="D17" s="20">
        <v>0.05</v>
      </c>
      <c r="E17" s="10" t="s">
        <v>88</v>
      </c>
      <c r="F17" s="20">
        <v>0.05</v>
      </c>
      <c r="G17" s="32" t="s">
        <v>89</v>
      </c>
      <c r="H17" s="19" t="s">
        <v>27</v>
      </c>
      <c r="I17" s="143">
        <v>1</v>
      </c>
      <c r="J17" s="144">
        <f>I17*$F17</f>
        <v>0.05</v>
      </c>
      <c r="K17" s="145">
        <v>1</v>
      </c>
      <c r="L17" s="144">
        <f>K17*$F17</f>
        <v>0.05</v>
      </c>
      <c r="M17" s="231">
        <v>1</v>
      </c>
      <c r="N17" s="144">
        <f>M17*$F17</f>
        <v>0.05</v>
      </c>
      <c r="O17" s="147">
        <f>AVERAGE(J17,L17,N17)</f>
        <v>5.000000000000001E-2</v>
      </c>
      <c r="P17" s="157" t="s">
        <v>90</v>
      </c>
      <c r="Q17" s="10" t="s">
        <v>22</v>
      </c>
    </row>
    <row r="18" spans="1:17" ht="106.5" customHeight="1" thickTop="1" thickBot="1" x14ac:dyDescent="0.35">
      <c r="A18" s="345"/>
      <c r="B18" s="280"/>
      <c r="C18" s="28" t="s">
        <v>30</v>
      </c>
      <c r="D18" s="18">
        <v>0.03</v>
      </c>
      <c r="E18" s="8" t="s">
        <v>31</v>
      </c>
      <c r="F18" s="18">
        <v>0.03</v>
      </c>
      <c r="G18" s="30" t="s">
        <v>32</v>
      </c>
      <c r="H18" s="17" t="s">
        <v>27</v>
      </c>
      <c r="I18" s="143">
        <v>1</v>
      </c>
      <c r="J18" s="144">
        <f>I18*$F18</f>
        <v>0.03</v>
      </c>
      <c r="K18" s="145">
        <v>1</v>
      </c>
      <c r="L18" s="144">
        <f>K18*$F18</f>
        <v>0.03</v>
      </c>
      <c r="M18" s="145">
        <v>1</v>
      </c>
      <c r="N18" s="144">
        <f>M18*$F18</f>
        <v>0.03</v>
      </c>
      <c r="O18" s="147">
        <f>AVERAGE(J18,L18,N18)</f>
        <v>0.03</v>
      </c>
      <c r="P18" s="193" t="s">
        <v>33</v>
      </c>
      <c r="Q18" s="8" t="s">
        <v>22</v>
      </c>
    </row>
    <row r="19" spans="1:17" ht="119.25" customHeight="1" thickTop="1" thickBot="1" x14ac:dyDescent="0.35">
      <c r="A19" s="276"/>
      <c r="B19" s="276"/>
      <c r="C19" s="29" t="s">
        <v>34</v>
      </c>
      <c r="D19" s="15">
        <v>0.02</v>
      </c>
      <c r="E19" s="16" t="s">
        <v>35</v>
      </c>
      <c r="F19" s="15">
        <v>0.02</v>
      </c>
      <c r="G19" s="33" t="s">
        <v>36</v>
      </c>
      <c r="H19" s="2" t="s">
        <v>27</v>
      </c>
      <c r="I19" s="143">
        <v>4.3400000000000001E-2</v>
      </c>
      <c r="J19" s="144">
        <f>I19*$F19</f>
        <v>8.6800000000000006E-4</v>
      </c>
      <c r="K19" s="143">
        <v>4.3400000000000001E-2</v>
      </c>
      <c r="L19" s="144">
        <f>K19*$F19</f>
        <v>8.6800000000000006E-4</v>
      </c>
      <c r="M19" s="184">
        <v>2.7E-2</v>
      </c>
      <c r="N19" s="144">
        <f>M19*$F19</f>
        <v>5.4000000000000001E-4</v>
      </c>
      <c r="O19" s="147">
        <f>AVERAGE(J19,L19,N19)</f>
        <v>7.5866666666666671E-4</v>
      </c>
      <c r="P19" s="193" t="s">
        <v>123</v>
      </c>
      <c r="Q19" s="16" t="s">
        <v>22</v>
      </c>
    </row>
    <row r="20" spans="1:17" ht="409.6" customHeight="1" thickTop="1" thickBot="1" x14ac:dyDescent="0.35">
      <c r="A20" s="286" t="s">
        <v>38</v>
      </c>
      <c r="B20" s="302">
        <v>0.25</v>
      </c>
      <c r="C20" s="295" t="s">
        <v>39</v>
      </c>
      <c r="D20" s="275">
        <f>B20</f>
        <v>0.25</v>
      </c>
      <c r="E20" s="12" t="s">
        <v>40</v>
      </c>
      <c r="F20" s="14">
        <f>D20*0.8</f>
        <v>0.2</v>
      </c>
      <c r="G20" s="34" t="s">
        <v>41</v>
      </c>
      <c r="H20" s="11" t="s">
        <v>27</v>
      </c>
      <c r="I20" s="291">
        <f>((3)/(3))</f>
        <v>1</v>
      </c>
      <c r="J20" s="282"/>
      <c r="K20" s="282"/>
      <c r="L20" s="282"/>
      <c r="M20" s="282"/>
      <c r="N20" s="282"/>
      <c r="O20" s="158">
        <f>I20*$F20</f>
        <v>0.2</v>
      </c>
      <c r="P20" s="273" t="s">
        <v>124</v>
      </c>
      <c r="Q20" s="12" t="s">
        <v>43</v>
      </c>
    </row>
    <row r="21" spans="1:17" ht="96.6" customHeight="1" thickTop="1" thickBot="1" x14ac:dyDescent="0.35">
      <c r="A21" s="276"/>
      <c r="B21" s="276"/>
      <c r="C21" s="276"/>
      <c r="D21" s="276"/>
      <c r="E21" s="10" t="s">
        <v>44</v>
      </c>
      <c r="F21" s="13">
        <f>D20*0.2</f>
        <v>0.05</v>
      </c>
      <c r="G21" s="32" t="s">
        <v>45</v>
      </c>
      <c r="H21" s="9" t="s">
        <v>27</v>
      </c>
      <c r="I21" s="291">
        <f>((1)/(3))</f>
        <v>0.33333333333333331</v>
      </c>
      <c r="J21" s="282"/>
      <c r="K21" s="282"/>
      <c r="L21" s="282"/>
      <c r="M21" s="282"/>
      <c r="N21" s="282"/>
      <c r="O21" s="158">
        <f>I21*$F21</f>
        <v>1.6666666666666666E-2</v>
      </c>
      <c r="P21" s="272" t="s">
        <v>125</v>
      </c>
      <c r="Q21" s="10" t="s">
        <v>43</v>
      </c>
    </row>
    <row r="22" spans="1:17" ht="66" customHeight="1" thickTop="1" x14ac:dyDescent="0.3">
      <c r="A22" s="286" t="s">
        <v>47</v>
      </c>
      <c r="B22" s="302">
        <v>0.3</v>
      </c>
      <c r="C22" s="295" t="s">
        <v>48</v>
      </c>
      <c r="D22" s="275">
        <f>$B$22/2</f>
        <v>0.15</v>
      </c>
      <c r="E22" s="324" t="s">
        <v>49</v>
      </c>
      <c r="F22" s="275">
        <f>$B$22/2</f>
        <v>0.15</v>
      </c>
      <c r="G22" s="36" t="s">
        <v>50</v>
      </c>
      <c r="H22" s="11">
        <v>1</v>
      </c>
      <c r="I22" s="281">
        <v>1</v>
      </c>
      <c r="J22" s="298"/>
      <c r="K22" s="298"/>
      <c r="L22" s="298"/>
      <c r="M22" s="298"/>
      <c r="N22" s="299"/>
      <c r="O22" s="310">
        <f>I22*$F22</f>
        <v>0.15</v>
      </c>
      <c r="P22" s="381" t="s">
        <v>94</v>
      </c>
      <c r="Q22" s="324" t="s">
        <v>43</v>
      </c>
    </row>
    <row r="23" spans="1:17" ht="66" customHeight="1" thickBot="1" x14ac:dyDescent="0.35">
      <c r="A23" s="345"/>
      <c r="B23" s="280"/>
      <c r="C23" s="276"/>
      <c r="D23" s="276"/>
      <c r="E23" s="276"/>
      <c r="F23" s="276"/>
      <c r="G23" s="37" t="s">
        <v>52</v>
      </c>
      <c r="H23" s="9">
        <v>0</v>
      </c>
      <c r="I23" s="276"/>
      <c r="J23" s="276"/>
      <c r="K23" s="276"/>
      <c r="L23" s="276"/>
      <c r="M23" s="276"/>
      <c r="N23" s="300"/>
      <c r="O23" s="311"/>
      <c r="P23" s="276"/>
      <c r="Q23" s="276"/>
    </row>
    <row r="24" spans="1:17" ht="82.2" customHeight="1" thickTop="1" thickBot="1" x14ac:dyDescent="0.35">
      <c r="A24" s="276"/>
      <c r="B24" s="276"/>
      <c r="C24" s="35" t="s">
        <v>53</v>
      </c>
      <c r="D24" s="6">
        <v>0.15</v>
      </c>
      <c r="E24" s="7" t="s">
        <v>54</v>
      </c>
      <c r="F24" s="6">
        <v>0.15</v>
      </c>
      <c r="G24" s="30" t="s">
        <v>55</v>
      </c>
      <c r="H24" s="6">
        <v>1</v>
      </c>
      <c r="I24" s="281">
        <v>0.44579999999999997</v>
      </c>
      <c r="J24" s="282"/>
      <c r="K24" s="282"/>
      <c r="L24" s="282"/>
      <c r="M24" s="282"/>
      <c r="N24" s="283"/>
      <c r="O24" s="147">
        <f>I24*$F24</f>
        <v>6.6869999999999999E-2</v>
      </c>
      <c r="P24" s="160" t="s">
        <v>126</v>
      </c>
      <c r="Q24" s="7" t="s">
        <v>43</v>
      </c>
    </row>
    <row r="25" spans="1:17" ht="26.7" customHeight="1" thickTop="1" x14ac:dyDescent="0.3">
      <c r="L25" s="5" t="s">
        <v>57</v>
      </c>
      <c r="M25" s="5"/>
      <c r="N25" s="5"/>
      <c r="O25" s="4">
        <f>SUM(O2:O24)</f>
        <v>0.77570366666666679</v>
      </c>
    </row>
    <row r="26" spans="1:17" ht="26.7" customHeight="1" x14ac:dyDescent="0.3"/>
  </sheetData>
  <mergeCells count="61">
    <mergeCell ref="D2:D5"/>
    <mergeCell ref="C22:C23"/>
    <mergeCell ref="I24:N24"/>
    <mergeCell ref="I16:N16"/>
    <mergeCell ref="A2:A13"/>
    <mergeCell ref="P22:P23"/>
    <mergeCell ref="Q6:Q8"/>
    <mergeCell ref="C20:C21"/>
    <mergeCell ref="K2:K4"/>
    <mergeCell ref="D6:D9"/>
    <mergeCell ref="L10:L12"/>
    <mergeCell ref="N10:N12"/>
    <mergeCell ref="O2:O4"/>
    <mergeCell ref="Q2:Q4"/>
    <mergeCell ref="N6:N8"/>
    <mergeCell ref="A22:A24"/>
    <mergeCell ref="C10:C13"/>
    <mergeCell ref="I21:N21"/>
    <mergeCell ref="F22:F23"/>
    <mergeCell ref="Q22:Q23"/>
    <mergeCell ref="J2:J4"/>
    <mergeCell ref="I10:I12"/>
    <mergeCell ref="L2:L4"/>
    <mergeCell ref="O10:O12"/>
    <mergeCell ref="I2:I4"/>
    <mergeCell ref="P2:P4"/>
    <mergeCell ref="Q10:Q12"/>
    <mergeCell ref="I6:I8"/>
    <mergeCell ref="K10:K12"/>
    <mergeCell ref="K6:K8"/>
    <mergeCell ref="L6:L8"/>
    <mergeCell ref="O22:O23"/>
    <mergeCell ref="O6:O8"/>
    <mergeCell ref="I20:N20"/>
    <mergeCell ref="B22:B24"/>
    <mergeCell ref="F6:F8"/>
    <mergeCell ref="B2:B13"/>
    <mergeCell ref="I22:N23"/>
    <mergeCell ref="C2:C5"/>
    <mergeCell ref="J10:J12"/>
    <mergeCell ref="M2:M4"/>
    <mergeCell ref="F2:F4"/>
    <mergeCell ref="E22:E23"/>
    <mergeCell ref="N2:N4"/>
    <mergeCell ref="E2:E4"/>
    <mergeCell ref="D22:D23"/>
    <mergeCell ref="F10:F12"/>
    <mergeCell ref="A20:A21"/>
    <mergeCell ref="P10:P12"/>
    <mergeCell ref="J6:J8"/>
    <mergeCell ref="B20:B21"/>
    <mergeCell ref="P6:P8"/>
    <mergeCell ref="D20:D21"/>
    <mergeCell ref="A14:A19"/>
    <mergeCell ref="E6:E8"/>
    <mergeCell ref="M10:M12"/>
    <mergeCell ref="M6:M8"/>
    <mergeCell ref="E10:E12"/>
    <mergeCell ref="C6:C9"/>
    <mergeCell ref="D10:D13"/>
    <mergeCell ref="B14:B19"/>
  </mergeCells>
  <printOptions horizontalCentered="1"/>
  <pageMargins left="0.23622047244094491" right="0.23622047244094491" top="0.74803149606299213" bottom="0.74803149606299213" header="0.31496062992125978" footer="0.31496062992125978"/>
  <pageSetup paperSize="8" scale="45" fitToWidth="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2">
    <tabColor theme="4" tint="0.79998168889431442"/>
  </sheetPr>
  <dimension ref="A1:Q21"/>
  <sheetViews>
    <sheetView topLeftCell="A16" zoomScale="55" zoomScaleNormal="55" zoomScaleSheetLayoutView="70" workbookViewId="0">
      <selection activeCell="A17" sqref="A17:A19"/>
    </sheetView>
  </sheetViews>
  <sheetFormatPr baseColWidth="10" defaultColWidth="11.44140625" defaultRowHeight="21" x14ac:dyDescent="0.3"/>
  <cols>
    <col min="1" max="1" width="20.6640625" style="81" customWidth="1"/>
    <col min="2" max="2" width="9.109375" style="55" customWidth="1"/>
    <col min="3" max="3" width="19.6640625" style="73" customWidth="1"/>
    <col min="4" max="4" width="9.88671875" style="55" customWidth="1"/>
    <col min="5" max="5" width="40.6640625" style="82" customWidth="1"/>
    <col min="6" max="6" width="13.44140625" style="55" customWidth="1"/>
    <col min="7" max="7" width="51.109375" style="55" customWidth="1"/>
    <col min="8" max="8" width="10.109375" style="55" customWidth="1"/>
    <col min="9" max="13" width="24" style="115" customWidth="1"/>
    <col min="14" max="14" width="24" customWidth="1"/>
    <col min="15" max="15" width="21.33203125" customWidth="1"/>
    <col min="16" max="16" width="228.6640625" style="204" customWidth="1"/>
    <col min="17" max="30" width="38.10937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54" t="s">
        <v>16</v>
      </c>
    </row>
    <row r="2" spans="1:17" ht="18.600000000000001" customHeight="1" thickTop="1" thickBot="1" x14ac:dyDescent="0.35">
      <c r="A2" s="388" t="s">
        <v>17</v>
      </c>
      <c r="B2" s="342">
        <v>0.2</v>
      </c>
      <c r="C2" s="306" t="s">
        <v>115</v>
      </c>
      <c r="D2" s="340">
        <f>$B$2/2</f>
        <v>0.1</v>
      </c>
      <c r="E2" s="324" t="s">
        <v>19</v>
      </c>
      <c r="F2" s="337">
        <f>$B$2/4</f>
        <v>0.05</v>
      </c>
      <c r="G2" s="56" t="s">
        <v>20</v>
      </c>
      <c r="H2" s="57">
        <v>1</v>
      </c>
      <c r="I2" s="301">
        <v>0.35709999999999997</v>
      </c>
      <c r="J2" s="288">
        <f>I2*$F2</f>
        <v>1.7854999999999999E-2</v>
      </c>
      <c r="K2" s="301">
        <v>0.8</v>
      </c>
      <c r="L2" s="288">
        <f>K2*$F2</f>
        <v>4.0000000000000008E-2</v>
      </c>
      <c r="M2" s="351">
        <v>0</v>
      </c>
      <c r="N2" s="288">
        <f>M2*$F2</f>
        <v>0</v>
      </c>
      <c r="O2" s="303">
        <f>AVERAGE(J2,L2,N2)</f>
        <v>1.9285E-2</v>
      </c>
      <c r="P2" s="384" t="s">
        <v>116</v>
      </c>
      <c r="Q2" s="319" t="s">
        <v>22</v>
      </c>
    </row>
    <row r="3" spans="1:17" ht="18.600000000000001" customHeight="1" thickTop="1" thickBot="1" x14ac:dyDescent="0.35">
      <c r="A3" s="335"/>
      <c r="B3" s="332"/>
      <c r="C3" s="317"/>
      <c r="D3" s="332"/>
      <c r="E3" s="325"/>
      <c r="F3" s="332"/>
      <c r="G3" s="56" t="s">
        <v>23</v>
      </c>
      <c r="H3" s="59">
        <v>0.8</v>
      </c>
      <c r="I3" s="289"/>
      <c r="J3" s="289"/>
      <c r="K3" s="289"/>
      <c r="L3" s="289"/>
      <c r="M3" s="289"/>
      <c r="N3" s="289"/>
      <c r="O3" s="304"/>
      <c r="P3" s="385"/>
      <c r="Q3" s="280"/>
    </row>
    <row r="4" spans="1:17" ht="63.6" customHeight="1" thickTop="1" thickBot="1" x14ac:dyDescent="0.35">
      <c r="A4" s="335"/>
      <c r="B4" s="332"/>
      <c r="C4" s="317"/>
      <c r="D4" s="332"/>
      <c r="E4" s="276"/>
      <c r="F4" s="276"/>
      <c r="G4" s="56" t="s">
        <v>24</v>
      </c>
      <c r="H4" s="61">
        <v>0</v>
      </c>
      <c r="I4" s="290"/>
      <c r="J4" s="290"/>
      <c r="K4" s="290"/>
      <c r="L4" s="290"/>
      <c r="M4" s="290"/>
      <c r="N4" s="290"/>
      <c r="O4" s="305"/>
      <c r="P4" s="386"/>
      <c r="Q4" s="280"/>
    </row>
    <row r="5" spans="1:17" ht="80.400000000000006" customHeight="1" thickTop="1" thickBot="1" x14ac:dyDescent="0.35">
      <c r="A5" s="335"/>
      <c r="B5" s="332"/>
      <c r="C5" s="276"/>
      <c r="D5" s="276"/>
      <c r="E5" s="10" t="s">
        <v>25</v>
      </c>
      <c r="F5" s="60">
        <f>$B$2/4</f>
        <v>0.05</v>
      </c>
      <c r="G5" s="38" t="s">
        <v>26</v>
      </c>
      <c r="H5" s="63" t="s">
        <v>27</v>
      </c>
      <c r="I5" s="138">
        <v>0.23569999999999999</v>
      </c>
      <c r="J5" s="139">
        <f>I5*$F5</f>
        <v>1.1785E-2</v>
      </c>
      <c r="K5" s="140">
        <v>0.27860000000000001</v>
      </c>
      <c r="L5" s="139">
        <f>K5*$F5</f>
        <v>1.3930000000000001E-2</v>
      </c>
      <c r="M5" s="229">
        <v>0.2571</v>
      </c>
      <c r="N5" s="139">
        <f>M5*$F5</f>
        <v>1.2855E-2</v>
      </c>
      <c r="O5" s="142">
        <f>AVERAGE(J5,L5,N5)</f>
        <v>1.2856666666666667E-2</v>
      </c>
      <c r="P5" s="212" t="s">
        <v>127</v>
      </c>
      <c r="Q5" s="10" t="s">
        <v>22</v>
      </c>
    </row>
    <row r="6" spans="1:17" ht="18.600000000000001" customHeight="1" thickTop="1" thickBot="1" x14ac:dyDescent="0.35">
      <c r="A6" s="335"/>
      <c r="B6" s="332"/>
      <c r="C6" s="306" t="s">
        <v>18</v>
      </c>
      <c r="D6" s="340">
        <f>$B$2/2</f>
        <v>0.1</v>
      </c>
      <c r="E6" s="324" t="s">
        <v>19</v>
      </c>
      <c r="F6" s="337">
        <f>$B$2/4</f>
        <v>0.05</v>
      </c>
      <c r="G6" s="56" t="s">
        <v>20</v>
      </c>
      <c r="H6" s="57">
        <v>1</v>
      </c>
      <c r="I6" s="292">
        <v>1</v>
      </c>
      <c r="J6" s="288">
        <f>I6*$F6</f>
        <v>0.05</v>
      </c>
      <c r="K6" s="301">
        <v>1</v>
      </c>
      <c r="L6" s="288">
        <f>K6*$F6</f>
        <v>0.05</v>
      </c>
      <c r="M6" s="301">
        <v>1</v>
      </c>
      <c r="N6" s="288">
        <f>M6*$F6</f>
        <v>0.05</v>
      </c>
      <c r="O6" s="303">
        <f>AVERAGE(J6,L6,N6)</f>
        <v>5.000000000000001E-2</v>
      </c>
      <c r="P6" s="382" t="s">
        <v>21</v>
      </c>
      <c r="Q6" s="324" t="s">
        <v>22</v>
      </c>
    </row>
    <row r="7" spans="1:17" ht="18.600000000000001" customHeight="1" thickTop="1" thickBot="1" x14ac:dyDescent="0.35">
      <c r="A7" s="335"/>
      <c r="B7" s="332"/>
      <c r="C7" s="317"/>
      <c r="D7" s="332"/>
      <c r="E7" s="325"/>
      <c r="F7" s="332"/>
      <c r="G7" s="56" t="s">
        <v>23</v>
      </c>
      <c r="H7" s="59">
        <v>0.8</v>
      </c>
      <c r="I7" s="293"/>
      <c r="J7" s="289"/>
      <c r="K7" s="289"/>
      <c r="L7" s="289"/>
      <c r="M7" s="289"/>
      <c r="N7" s="289"/>
      <c r="O7" s="304"/>
      <c r="P7" s="289"/>
      <c r="Q7" s="280"/>
    </row>
    <row r="8" spans="1:17" ht="57" customHeight="1" thickTop="1" thickBot="1" x14ac:dyDescent="0.35">
      <c r="A8" s="335"/>
      <c r="B8" s="332"/>
      <c r="C8" s="317"/>
      <c r="D8" s="332"/>
      <c r="E8" s="276"/>
      <c r="F8" s="276"/>
      <c r="G8" s="56" t="s">
        <v>24</v>
      </c>
      <c r="H8" s="61">
        <v>0.5</v>
      </c>
      <c r="I8" s="294"/>
      <c r="J8" s="290"/>
      <c r="K8" s="290"/>
      <c r="L8" s="290"/>
      <c r="M8" s="290"/>
      <c r="N8" s="290"/>
      <c r="O8" s="305"/>
      <c r="P8" s="290"/>
      <c r="Q8" s="276"/>
    </row>
    <row r="9" spans="1:17" ht="87.6" customHeight="1" thickTop="1" thickBot="1" x14ac:dyDescent="0.35">
      <c r="A9" s="276"/>
      <c r="B9" s="276"/>
      <c r="C9" s="276"/>
      <c r="D9" s="276"/>
      <c r="E9" s="10" t="s">
        <v>25</v>
      </c>
      <c r="F9" s="60">
        <f>$B$2/4</f>
        <v>0.05</v>
      </c>
      <c r="G9" s="38" t="s">
        <v>26</v>
      </c>
      <c r="H9" s="63" t="s">
        <v>27</v>
      </c>
      <c r="I9" s="138">
        <v>1</v>
      </c>
      <c r="J9" s="139">
        <f>I9*$F9</f>
        <v>0.05</v>
      </c>
      <c r="K9" s="140">
        <v>1</v>
      </c>
      <c r="L9" s="139">
        <f>K9*$F9</f>
        <v>0.05</v>
      </c>
      <c r="M9" s="165">
        <v>1</v>
      </c>
      <c r="N9" s="139">
        <f>M9*$F9</f>
        <v>0.05</v>
      </c>
      <c r="O9" s="142">
        <f>AVERAGE(J9,L9,N9)</f>
        <v>5.000000000000001E-2</v>
      </c>
      <c r="P9" s="207" t="s">
        <v>98</v>
      </c>
      <c r="Q9" s="10" t="s">
        <v>22</v>
      </c>
    </row>
    <row r="10" spans="1:17" ht="168" customHeight="1" thickTop="1" thickBot="1" x14ac:dyDescent="0.35">
      <c r="A10" s="388" t="s">
        <v>29</v>
      </c>
      <c r="B10" s="342">
        <v>0.25</v>
      </c>
      <c r="C10" s="64" t="s">
        <v>115</v>
      </c>
      <c r="D10" s="65">
        <f>20%/3</f>
        <v>6.6666666666666666E-2</v>
      </c>
      <c r="E10" s="8" t="s">
        <v>119</v>
      </c>
      <c r="F10" s="65">
        <f>D10</f>
        <v>6.6666666666666666E-2</v>
      </c>
      <c r="G10" s="122" t="s">
        <v>120</v>
      </c>
      <c r="H10" s="67" t="s">
        <v>27</v>
      </c>
      <c r="I10" s="143">
        <v>0.20699999999999999</v>
      </c>
      <c r="J10" s="144">
        <f>I10*$F10</f>
        <v>1.38E-2</v>
      </c>
      <c r="K10" s="140">
        <v>0.1903</v>
      </c>
      <c r="L10" s="144">
        <f>K10*$F10</f>
        <v>1.2686666666666666E-2</v>
      </c>
      <c r="M10" s="41">
        <v>0.1903</v>
      </c>
      <c r="N10" s="144">
        <f>M10*$F10</f>
        <v>1.2686666666666666E-2</v>
      </c>
      <c r="O10" s="147">
        <f>AVERAGE(J10,L10,N10)</f>
        <v>1.3057777777777778E-2</v>
      </c>
      <c r="P10" s="212" t="s">
        <v>121</v>
      </c>
      <c r="Q10" s="8" t="s">
        <v>22</v>
      </c>
    </row>
    <row r="11" spans="1:17" ht="342" customHeight="1" thickTop="1" thickBot="1" x14ac:dyDescent="0.35">
      <c r="A11" s="335"/>
      <c r="B11" s="332"/>
      <c r="C11" s="64" t="s">
        <v>84</v>
      </c>
      <c r="D11" s="65">
        <f>20%/3</f>
        <v>6.6666666666666666E-2</v>
      </c>
      <c r="E11" s="8" t="s">
        <v>85</v>
      </c>
      <c r="F11" s="65">
        <f>D11</f>
        <v>6.6666666666666666E-2</v>
      </c>
      <c r="G11" s="66" t="s">
        <v>85</v>
      </c>
      <c r="H11" s="67" t="s">
        <v>27</v>
      </c>
      <c r="I11" s="281">
        <v>0.38679999999999998</v>
      </c>
      <c r="J11" s="282"/>
      <c r="K11" s="282"/>
      <c r="L11" s="282"/>
      <c r="M11" s="282"/>
      <c r="N11" s="283"/>
      <c r="O11" s="147">
        <f>I11*D11</f>
        <v>2.5786666666666666E-2</v>
      </c>
      <c r="P11" s="206" t="s">
        <v>128</v>
      </c>
      <c r="Q11" s="8" t="s">
        <v>43</v>
      </c>
    </row>
    <row r="12" spans="1:17" ht="46.95" customHeight="1" thickTop="1" thickBot="1" x14ac:dyDescent="0.35">
      <c r="A12" s="335"/>
      <c r="B12" s="332"/>
      <c r="C12" s="68" t="s">
        <v>87</v>
      </c>
      <c r="D12" s="62">
        <f>20%/3</f>
        <v>6.6666666666666666E-2</v>
      </c>
      <c r="E12" s="10" t="s">
        <v>88</v>
      </c>
      <c r="F12" s="62">
        <f>D12</f>
        <v>6.6666666666666666E-2</v>
      </c>
      <c r="G12" s="69" t="s">
        <v>89</v>
      </c>
      <c r="H12" s="70" t="s">
        <v>27</v>
      </c>
      <c r="I12" s="143">
        <v>1</v>
      </c>
      <c r="J12" s="144">
        <f>I12*$F12</f>
        <v>6.6666666666666666E-2</v>
      </c>
      <c r="K12" s="145">
        <v>1</v>
      </c>
      <c r="L12" s="144">
        <f>K12*$F12</f>
        <v>6.6666666666666666E-2</v>
      </c>
      <c r="M12" s="145">
        <v>1</v>
      </c>
      <c r="N12" s="144">
        <f>M12*$F12</f>
        <v>6.6666666666666666E-2</v>
      </c>
      <c r="O12" s="147">
        <f>AVERAGE(J12,L12,N12)</f>
        <v>6.6666666666666666E-2</v>
      </c>
      <c r="P12" s="206" t="s">
        <v>90</v>
      </c>
      <c r="Q12" s="8" t="s">
        <v>22</v>
      </c>
    </row>
    <row r="13" spans="1:17" ht="128.4" customHeight="1" thickTop="1" thickBot="1" x14ac:dyDescent="0.35">
      <c r="A13" s="335"/>
      <c r="B13" s="332"/>
      <c r="C13" s="64" t="s">
        <v>30</v>
      </c>
      <c r="D13" s="65">
        <v>0.03</v>
      </c>
      <c r="E13" s="8" t="s">
        <v>31</v>
      </c>
      <c r="F13" s="65">
        <v>0.03</v>
      </c>
      <c r="G13" s="66" t="s">
        <v>32</v>
      </c>
      <c r="H13" s="67" t="s">
        <v>27</v>
      </c>
      <c r="I13" s="143">
        <v>1</v>
      </c>
      <c r="J13" s="144">
        <f>I13*$F13</f>
        <v>0.03</v>
      </c>
      <c r="K13" s="145">
        <v>1</v>
      </c>
      <c r="L13" s="144">
        <f>K13*$F13</f>
        <v>0.03</v>
      </c>
      <c r="M13" s="145">
        <v>1</v>
      </c>
      <c r="N13" s="144">
        <f>M13*$F13</f>
        <v>0.03</v>
      </c>
      <c r="O13" s="147">
        <f>AVERAGE(J13,L13,N13)</f>
        <v>0.03</v>
      </c>
      <c r="P13" s="207" t="s">
        <v>33</v>
      </c>
      <c r="Q13" s="8" t="s">
        <v>22</v>
      </c>
    </row>
    <row r="14" spans="1:17" ht="160.5" customHeight="1" thickTop="1" thickBot="1" x14ac:dyDescent="0.35">
      <c r="A14" s="276"/>
      <c r="B14" s="276"/>
      <c r="C14" s="71" t="s">
        <v>34</v>
      </c>
      <c r="D14" s="58">
        <v>0.02</v>
      </c>
      <c r="E14" s="16" t="s">
        <v>35</v>
      </c>
      <c r="F14" s="58">
        <v>0.02</v>
      </c>
      <c r="G14" s="72" t="s">
        <v>36</v>
      </c>
      <c r="H14" s="73" t="s">
        <v>27</v>
      </c>
      <c r="I14" s="143">
        <v>3.3300000000000003E-2</v>
      </c>
      <c r="J14" s="144">
        <f>I14*$F14</f>
        <v>6.6600000000000003E-4</v>
      </c>
      <c r="K14" s="145">
        <v>3.2199999999999999E-2</v>
      </c>
      <c r="L14" s="144">
        <f>K14*$F14</f>
        <v>6.4400000000000004E-4</v>
      </c>
      <c r="M14" s="145">
        <v>0.02</v>
      </c>
      <c r="N14" s="144">
        <f>M14*$F14</f>
        <v>4.0000000000000002E-4</v>
      </c>
      <c r="O14" s="147">
        <f>AVERAGE(J14,L14,N14)</f>
        <v>5.6999999999999998E-4</v>
      </c>
      <c r="P14" s="207" t="s">
        <v>129</v>
      </c>
      <c r="Q14" s="8" t="s">
        <v>22</v>
      </c>
    </row>
    <row r="15" spans="1:17" ht="409.2" customHeight="1" thickTop="1" thickBot="1" x14ac:dyDescent="0.35">
      <c r="A15" s="344" t="s">
        <v>38</v>
      </c>
      <c r="B15" s="342">
        <v>0.25</v>
      </c>
      <c r="C15" s="295" t="s">
        <v>39</v>
      </c>
      <c r="D15" s="350">
        <f>B15</f>
        <v>0.25</v>
      </c>
      <c r="E15" s="12" t="s">
        <v>40</v>
      </c>
      <c r="F15" s="84">
        <f>D15*0.8</f>
        <v>0.2</v>
      </c>
      <c r="G15" s="248" t="s">
        <v>41</v>
      </c>
      <c r="H15" s="74" t="s">
        <v>27</v>
      </c>
      <c r="I15" s="291">
        <f>((6)/(20))</f>
        <v>0.3</v>
      </c>
      <c r="J15" s="282"/>
      <c r="K15" s="282"/>
      <c r="L15" s="282"/>
      <c r="M15" s="282"/>
      <c r="N15" s="282"/>
      <c r="O15" s="158">
        <f>I15*$F15</f>
        <v>0.06</v>
      </c>
      <c r="P15" s="383" t="s">
        <v>130</v>
      </c>
      <c r="Q15" s="10" t="s">
        <v>43</v>
      </c>
    </row>
    <row r="16" spans="1:17" ht="409.6" customHeight="1" thickTop="1" thickBot="1" x14ac:dyDescent="0.35">
      <c r="A16" s="276"/>
      <c r="B16" s="276"/>
      <c r="C16" s="276"/>
      <c r="D16" s="276"/>
      <c r="E16" s="10" t="s">
        <v>44</v>
      </c>
      <c r="F16" s="78">
        <f>D15*0.2</f>
        <v>0.05</v>
      </c>
      <c r="G16" s="69" t="s">
        <v>45</v>
      </c>
      <c r="H16" s="77" t="s">
        <v>27</v>
      </c>
      <c r="I16" s="291">
        <f>((2)/(6))</f>
        <v>0.33333333333333331</v>
      </c>
      <c r="J16" s="282"/>
      <c r="K16" s="282"/>
      <c r="L16" s="282"/>
      <c r="M16" s="282"/>
      <c r="N16" s="282"/>
      <c r="O16" s="158">
        <f>I16*$F16</f>
        <v>1.6666666666666666E-2</v>
      </c>
      <c r="P16" s="276"/>
      <c r="Q16" s="10" t="s">
        <v>43</v>
      </c>
    </row>
    <row r="17" spans="1:17" ht="90" customHeight="1" thickTop="1" thickBot="1" x14ac:dyDescent="0.35">
      <c r="A17" s="344" t="s">
        <v>47</v>
      </c>
      <c r="B17" s="342">
        <v>0.3</v>
      </c>
      <c r="C17" s="295" t="s">
        <v>48</v>
      </c>
      <c r="D17" s="350">
        <f>$B$17/2</f>
        <v>0.15</v>
      </c>
      <c r="E17" s="324" t="s">
        <v>49</v>
      </c>
      <c r="F17" s="350">
        <f>$B$17/2</f>
        <v>0.15</v>
      </c>
      <c r="G17" s="79" t="s">
        <v>50</v>
      </c>
      <c r="H17" s="74">
        <v>1</v>
      </c>
      <c r="I17" s="281">
        <v>1</v>
      </c>
      <c r="J17" s="298"/>
      <c r="K17" s="298"/>
      <c r="L17" s="298"/>
      <c r="M17" s="298"/>
      <c r="N17" s="299"/>
      <c r="O17" s="310">
        <f>I17*$F17</f>
        <v>0.15</v>
      </c>
      <c r="P17" s="387" t="s">
        <v>94</v>
      </c>
      <c r="Q17" s="319" t="s">
        <v>43</v>
      </c>
    </row>
    <row r="18" spans="1:17" ht="90" customHeight="1" thickTop="1" thickBot="1" x14ac:dyDescent="0.35">
      <c r="A18" s="335"/>
      <c r="B18" s="332"/>
      <c r="C18" s="276"/>
      <c r="D18" s="276"/>
      <c r="E18" s="276"/>
      <c r="F18" s="276"/>
      <c r="G18" s="80" t="s">
        <v>52</v>
      </c>
      <c r="H18" s="77">
        <v>0</v>
      </c>
      <c r="I18" s="276"/>
      <c r="J18" s="276"/>
      <c r="K18" s="276"/>
      <c r="L18" s="276"/>
      <c r="M18" s="276"/>
      <c r="N18" s="300"/>
      <c r="O18" s="311"/>
      <c r="P18" s="276"/>
      <c r="Q18" s="280"/>
    </row>
    <row r="19" spans="1:17" ht="145.94999999999999" customHeight="1" thickTop="1" thickBot="1" x14ac:dyDescent="0.35">
      <c r="A19" s="276"/>
      <c r="B19" s="276"/>
      <c r="C19" s="35" t="s">
        <v>53</v>
      </c>
      <c r="D19" s="76">
        <v>0.15</v>
      </c>
      <c r="E19" s="7" t="s">
        <v>54</v>
      </c>
      <c r="F19" s="76">
        <v>0.15</v>
      </c>
      <c r="G19" s="66" t="s">
        <v>55</v>
      </c>
      <c r="H19" s="76">
        <v>1</v>
      </c>
      <c r="I19" s="281">
        <v>0.2727</v>
      </c>
      <c r="J19" s="282"/>
      <c r="K19" s="282"/>
      <c r="L19" s="282"/>
      <c r="M19" s="282"/>
      <c r="N19" s="283"/>
      <c r="O19" s="147">
        <f>I19*$F19</f>
        <v>4.0904999999999997E-2</v>
      </c>
      <c r="P19" s="213" t="s">
        <v>131</v>
      </c>
      <c r="Q19" s="8" t="s">
        <v>43</v>
      </c>
    </row>
    <row r="20" spans="1:17" ht="26.7" customHeight="1" thickTop="1" x14ac:dyDescent="0.3">
      <c r="L20" s="5" t="s">
        <v>57</v>
      </c>
      <c r="M20" s="5"/>
      <c r="N20" s="5"/>
      <c r="O20" s="4">
        <f>SUM(O2:O19)</f>
        <v>0.53579444444444435</v>
      </c>
    </row>
    <row r="21" spans="1:17" ht="26.7" customHeight="1" x14ac:dyDescent="0.3"/>
  </sheetData>
  <mergeCells count="49">
    <mergeCell ref="B17:B19"/>
    <mergeCell ref="A2:A9"/>
    <mergeCell ref="A15:A16"/>
    <mergeCell ref="N2:N4"/>
    <mergeCell ref="C15:C16"/>
    <mergeCell ref="C6:C9"/>
    <mergeCell ref="B10:B14"/>
    <mergeCell ref="E2:E4"/>
    <mergeCell ref="E17:E18"/>
    <mergeCell ref="A17:A19"/>
    <mergeCell ref="K2:K4"/>
    <mergeCell ref="D6:D9"/>
    <mergeCell ref="D17:D18"/>
    <mergeCell ref="N6:N8"/>
    <mergeCell ref="D2:D5"/>
    <mergeCell ref="I6:I8"/>
    <mergeCell ref="A10:A14"/>
    <mergeCell ref="L2:L4"/>
    <mergeCell ref="B2:B9"/>
    <mergeCell ref="O6:O8"/>
    <mergeCell ref="B15:B16"/>
    <mergeCell ref="F6:F8"/>
    <mergeCell ref="I2:I4"/>
    <mergeCell ref="D15:D16"/>
    <mergeCell ref="O2:O4"/>
    <mergeCell ref="K6:K8"/>
    <mergeCell ref="L6:L8"/>
    <mergeCell ref="Q17:Q18"/>
    <mergeCell ref="J6:J8"/>
    <mergeCell ref="M2:M4"/>
    <mergeCell ref="P6:P8"/>
    <mergeCell ref="P15:P16"/>
    <mergeCell ref="P2:P4"/>
    <mergeCell ref="I15:N15"/>
    <mergeCell ref="I17:N18"/>
    <mergeCell ref="M6:M8"/>
    <mergeCell ref="I11:N11"/>
    <mergeCell ref="P17:P18"/>
    <mergeCell ref="J2:J4"/>
    <mergeCell ref="Q6:Q8"/>
    <mergeCell ref="Q2:Q4"/>
    <mergeCell ref="I16:N16"/>
    <mergeCell ref="I19:N19"/>
    <mergeCell ref="C17:C18"/>
    <mergeCell ref="O17:O18"/>
    <mergeCell ref="C2:C5"/>
    <mergeCell ref="E6:E8"/>
    <mergeCell ref="F2:F4"/>
    <mergeCell ref="F17:F18"/>
  </mergeCells>
  <printOptions horizontalCentered="1"/>
  <pageMargins left="0.23622047244094491" right="0.23622047244094491" top="0.74803149606299213" bottom="0.74803149606299213" header="0.31496062992125978" footer="0.31496062992125978"/>
  <pageSetup scale="44" fitToHeight="0" orientation="landscape"/>
  <rowBreaks count="1" manualBreakCount="1">
    <brk id="1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8">
    <tabColor theme="4" tint="0.39997558519241921"/>
  </sheetPr>
  <dimension ref="A1:Q20"/>
  <sheetViews>
    <sheetView topLeftCell="E15" zoomScale="70" zoomScaleNormal="70" zoomScaleSheetLayoutView="90" workbookViewId="0">
      <selection activeCell="G11" sqref="G11"/>
    </sheetView>
  </sheetViews>
  <sheetFormatPr baseColWidth="10" defaultColWidth="11.44140625" defaultRowHeight="18" x14ac:dyDescent="0.3"/>
  <cols>
    <col min="1" max="1" width="20.6640625" style="3" customWidth="1"/>
    <col min="2" max="2" width="9.109375" customWidth="1"/>
    <col min="3" max="3" width="19.6640625" style="2" customWidth="1"/>
    <col min="4" max="4" width="10.88671875" customWidth="1"/>
    <col min="5" max="5" width="40.6640625" style="1" customWidth="1"/>
    <col min="6" max="6" width="8" customWidth="1"/>
    <col min="7" max="7" width="60" customWidth="1"/>
    <col min="8" max="8" width="10.109375" style="136" customWidth="1"/>
    <col min="9" max="15" width="18.109375" customWidth="1"/>
    <col min="16" max="16" width="142.6640625" style="242" customWidth="1"/>
    <col min="17" max="24" width="28.10937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54" t="s">
        <v>16</v>
      </c>
    </row>
    <row r="2" spans="1:17" ht="18" customHeight="1" thickTop="1" thickBot="1" x14ac:dyDescent="0.35">
      <c r="A2" s="279" t="s">
        <v>17</v>
      </c>
      <c r="B2" s="302">
        <v>0.2</v>
      </c>
      <c r="C2" s="306" t="s">
        <v>115</v>
      </c>
      <c r="D2" s="285">
        <f>B2/2</f>
        <v>0.1</v>
      </c>
      <c r="E2" s="324" t="s">
        <v>19</v>
      </c>
      <c r="F2" s="312">
        <f>B2/4</f>
        <v>0.05</v>
      </c>
      <c r="G2" s="38" t="s">
        <v>20</v>
      </c>
      <c r="H2" s="191">
        <v>1</v>
      </c>
      <c r="I2" s="292">
        <v>1</v>
      </c>
      <c r="J2" s="288">
        <f>I2*$F2</f>
        <v>0.05</v>
      </c>
      <c r="K2" s="301">
        <v>1</v>
      </c>
      <c r="L2" s="288">
        <f>K2*$F2</f>
        <v>0.05</v>
      </c>
      <c r="M2" s="351">
        <v>1</v>
      </c>
      <c r="N2" s="288">
        <f>M2*$F2</f>
        <v>0.05</v>
      </c>
      <c r="O2" s="303">
        <f>AVERAGE(J2,L2,N2)</f>
        <v>5.000000000000001E-2</v>
      </c>
      <c r="P2" s="390" t="s">
        <v>132</v>
      </c>
      <c r="Q2" s="319" t="s">
        <v>22</v>
      </c>
    </row>
    <row r="3" spans="1:17" ht="18" customHeight="1" thickTop="1" thickBot="1" x14ac:dyDescent="0.35">
      <c r="A3" s="345"/>
      <c r="B3" s="280"/>
      <c r="C3" s="307"/>
      <c r="D3" s="280"/>
      <c r="E3" s="346"/>
      <c r="F3" s="280"/>
      <c r="G3" s="38" t="s">
        <v>23</v>
      </c>
      <c r="H3" s="192">
        <v>0.8</v>
      </c>
      <c r="I3" s="293"/>
      <c r="J3" s="289"/>
      <c r="K3" s="289"/>
      <c r="L3" s="289"/>
      <c r="M3" s="289"/>
      <c r="N3" s="289"/>
      <c r="O3" s="304"/>
      <c r="P3" s="385"/>
      <c r="Q3" s="280"/>
    </row>
    <row r="4" spans="1:17" ht="72.599999999999994" customHeight="1" thickTop="1" thickBot="1" x14ac:dyDescent="0.35">
      <c r="A4" s="345"/>
      <c r="B4" s="280"/>
      <c r="C4" s="307"/>
      <c r="D4" s="280"/>
      <c r="E4" s="276"/>
      <c r="F4" s="276"/>
      <c r="G4" s="38" t="s">
        <v>24</v>
      </c>
      <c r="H4" s="21">
        <v>0</v>
      </c>
      <c r="I4" s="294"/>
      <c r="J4" s="290"/>
      <c r="K4" s="290"/>
      <c r="L4" s="290"/>
      <c r="M4" s="290"/>
      <c r="N4" s="290"/>
      <c r="O4" s="305"/>
      <c r="P4" s="386"/>
      <c r="Q4" s="280"/>
    </row>
    <row r="5" spans="1:17" ht="101.4" customHeight="1" thickTop="1" thickBot="1" x14ac:dyDescent="0.35">
      <c r="A5" s="345"/>
      <c r="B5" s="280"/>
      <c r="C5" s="276"/>
      <c r="D5" s="276"/>
      <c r="E5" s="10" t="s">
        <v>25</v>
      </c>
      <c r="F5" s="22">
        <f>B2/4</f>
        <v>0.05</v>
      </c>
      <c r="G5" s="38" t="s">
        <v>26</v>
      </c>
      <c r="H5" s="21" t="s">
        <v>27</v>
      </c>
      <c r="I5" s="138">
        <v>1</v>
      </c>
      <c r="J5" s="139">
        <f>I5*$F5</f>
        <v>0.05</v>
      </c>
      <c r="K5" s="140">
        <v>1</v>
      </c>
      <c r="L5" s="139">
        <f>K5*$F5</f>
        <v>0.05</v>
      </c>
      <c r="M5" s="229">
        <v>1</v>
      </c>
      <c r="N5" s="139">
        <f>M5*$F5</f>
        <v>0.05</v>
      </c>
      <c r="O5" s="142">
        <f>AVERAGE(J5,L5,N5)</f>
        <v>5.000000000000001E-2</v>
      </c>
      <c r="P5" s="240" t="s">
        <v>133</v>
      </c>
      <c r="Q5" s="10" t="s">
        <v>22</v>
      </c>
    </row>
    <row r="6" spans="1:17" ht="18.600000000000001" customHeight="1" thickTop="1" thickBot="1" x14ac:dyDescent="0.35">
      <c r="A6" s="345"/>
      <c r="B6" s="280"/>
      <c r="C6" s="306" t="s">
        <v>18</v>
      </c>
      <c r="D6" s="285">
        <f>B2/2</f>
        <v>0.1</v>
      </c>
      <c r="E6" s="324" t="s">
        <v>19</v>
      </c>
      <c r="F6" s="312">
        <f>B2/4</f>
        <v>0.05</v>
      </c>
      <c r="G6" s="38" t="s">
        <v>20</v>
      </c>
      <c r="H6" s="191">
        <v>1</v>
      </c>
      <c r="I6" s="292">
        <v>1</v>
      </c>
      <c r="J6" s="288">
        <f>I6*$F6</f>
        <v>0.05</v>
      </c>
      <c r="K6" s="301">
        <v>1</v>
      </c>
      <c r="L6" s="288">
        <f>K6*$F6</f>
        <v>0.05</v>
      </c>
      <c r="M6" s="308">
        <v>1</v>
      </c>
      <c r="N6" s="288">
        <f>M6*$F6</f>
        <v>0.05</v>
      </c>
      <c r="O6" s="303">
        <f>AVERAGE(J6,L6,N6)</f>
        <v>5.000000000000001E-2</v>
      </c>
      <c r="P6" s="389" t="s">
        <v>21</v>
      </c>
      <c r="Q6" s="324" t="s">
        <v>22</v>
      </c>
    </row>
    <row r="7" spans="1:17" ht="18.600000000000001" customHeight="1" thickTop="1" thickBot="1" x14ac:dyDescent="0.35">
      <c r="A7" s="345"/>
      <c r="B7" s="280"/>
      <c r="C7" s="307"/>
      <c r="D7" s="280"/>
      <c r="E7" s="346"/>
      <c r="F7" s="280"/>
      <c r="G7" s="38" t="s">
        <v>23</v>
      </c>
      <c r="H7" s="192">
        <v>0.8</v>
      </c>
      <c r="I7" s="293"/>
      <c r="J7" s="289"/>
      <c r="K7" s="289"/>
      <c r="L7" s="289"/>
      <c r="M7" s="289"/>
      <c r="N7" s="289"/>
      <c r="O7" s="304"/>
      <c r="P7" s="289"/>
      <c r="Q7" s="280"/>
    </row>
    <row r="8" spans="1:17" ht="62.4" customHeight="1" thickTop="1" thickBot="1" x14ac:dyDescent="0.35">
      <c r="A8" s="345"/>
      <c r="B8" s="280"/>
      <c r="C8" s="307"/>
      <c r="D8" s="280"/>
      <c r="E8" s="276"/>
      <c r="F8" s="276"/>
      <c r="G8" s="38" t="s">
        <v>24</v>
      </c>
      <c r="H8" s="21">
        <v>0.5</v>
      </c>
      <c r="I8" s="294"/>
      <c r="J8" s="290"/>
      <c r="K8" s="290"/>
      <c r="L8" s="290"/>
      <c r="M8" s="290"/>
      <c r="N8" s="290"/>
      <c r="O8" s="305"/>
      <c r="P8" s="290"/>
      <c r="Q8" s="276"/>
    </row>
    <row r="9" spans="1:17" ht="100.5" customHeight="1" thickTop="1" thickBot="1" x14ac:dyDescent="0.35">
      <c r="A9" s="276"/>
      <c r="B9" s="276"/>
      <c r="C9" s="276"/>
      <c r="D9" s="276"/>
      <c r="E9" s="10" t="s">
        <v>25</v>
      </c>
      <c r="F9" s="22">
        <f>B2/4</f>
        <v>0.05</v>
      </c>
      <c r="G9" s="38" t="s">
        <v>26</v>
      </c>
      <c r="H9" s="21" t="s">
        <v>27</v>
      </c>
      <c r="I9" s="138">
        <v>1</v>
      </c>
      <c r="J9" s="139">
        <f>I9*$F9</f>
        <v>0.05</v>
      </c>
      <c r="K9" s="140">
        <v>1</v>
      </c>
      <c r="L9" s="139">
        <f>K9*$F9</f>
        <v>0.05</v>
      </c>
      <c r="M9" s="188">
        <v>1</v>
      </c>
      <c r="N9" s="139">
        <f>M9*$F9</f>
        <v>0.05</v>
      </c>
      <c r="O9" s="142">
        <f>AVERAGE(J9,L9,N9)</f>
        <v>5.000000000000001E-2</v>
      </c>
      <c r="P9" s="241" t="s">
        <v>98</v>
      </c>
      <c r="Q9" s="10" t="s">
        <v>22</v>
      </c>
    </row>
    <row r="10" spans="1:17" ht="145.5" customHeight="1" thickTop="1" thickBot="1" x14ac:dyDescent="0.35">
      <c r="A10" s="279" t="s">
        <v>29</v>
      </c>
      <c r="B10" s="284">
        <v>0.25</v>
      </c>
      <c r="C10" s="28" t="s">
        <v>115</v>
      </c>
      <c r="D10" s="18">
        <f>20%/3</f>
        <v>6.6666666666666666E-2</v>
      </c>
      <c r="E10" s="8" t="s">
        <v>119</v>
      </c>
      <c r="F10" s="18">
        <f>20%/3</f>
        <v>6.6666666666666666E-2</v>
      </c>
      <c r="G10" s="31" t="s">
        <v>120</v>
      </c>
      <c r="H10" s="17" t="s">
        <v>27</v>
      </c>
      <c r="I10" s="143">
        <v>0.6</v>
      </c>
      <c r="J10" s="144">
        <f>I10*$F10</f>
        <v>0.04</v>
      </c>
      <c r="K10" s="145">
        <v>0.72</v>
      </c>
      <c r="L10" s="144">
        <f>K10*$F10</f>
        <v>4.8000000000000001E-2</v>
      </c>
      <c r="M10" s="146">
        <v>0.8</v>
      </c>
      <c r="N10" s="144">
        <f>M10*$F10</f>
        <v>5.3333333333333337E-2</v>
      </c>
      <c r="O10" s="147">
        <f>AVERAGE(J10,L10,N10)</f>
        <v>4.7111111111111111E-2</v>
      </c>
      <c r="P10" s="243" t="s">
        <v>134</v>
      </c>
      <c r="Q10" s="8" t="s">
        <v>22</v>
      </c>
    </row>
    <row r="11" spans="1:17" ht="333" customHeight="1" thickTop="1" thickBot="1" x14ac:dyDescent="0.35">
      <c r="A11" s="345"/>
      <c r="B11" s="280"/>
      <c r="C11" s="28" t="s">
        <v>84</v>
      </c>
      <c r="D11" s="18">
        <f>20%/3</f>
        <v>6.6666666666666666E-2</v>
      </c>
      <c r="E11" s="8" t="s">
        <v>85</v>
      </c>
      <c r="F11" s="18">
        <f>20%/3</f>
        <v>6.6666666666666666E-2</v>
      </c>
      <c r="G11" s="30" t="s">
        <v>85</v>
      </c>
      <c r="H11" s="17" t="s">
        <v>27</v>
      </c>
      <c r="I11" s="281">
        <v>0.75</v>
      </c>
      <c r="J11" s="282"/>
      <c r="K11" s="282"/>
      <c r="L11" s="282"/>
      <c r="M11" s="282"/>
      <c r="N11" s="283"/>
      <c r="O11" s="147">
        <f>D11*I11</f>
        <v>0.05</v>
      </c>
      <c r="P11" s="238" t="s">
        <v>135</v>
      </c>
      <c r="Q11" s="8" t="s">
        <v>43</v>
      </c>
    </row>
    <row r="12" spans="1:17" ht="81" customHeight="1" thickTop="1" thickBot="1" x14ac:dyDescent="0.35">
      <c r="A12" s="345"/>
      <c r="B12" s="280"/>
      <c r="C12" s="27" t="s">
        <v>87</v>
      </c>
      <c r="D12" s="18">
        <f>20%/3</f>
        <v>6.6666666666666666E-2</v>
      </c>
      <c r="E12" s="10" t="s">
        <v>88</v>
      </c>
      <c r="F12" s="18">
        <f>20%/3</f>
        <v>6.6666666666666666E-2</v>
      </c>
      <c r="G12" s="32" t="s">
        <v>89</v>
      </c>
      <c r="H12" s="19" t="s">
        <v>27</v>
      </c>
      <c r="I12" s="143">
        <v>1</v>
      </c>
      <c r="J12" s="144">
        <f>I12*$F12</f>
        <v>6.6666666666666666E-2</v>
      </c>
      <c r="K12" s="145">
        <v>1</v>
      </c>
      <c r="L12" s="144">
        <f>K12*$F12</f>
        <v>6.6666666666666666E-2</v>
      </c>
      <c r="M12" s="184">
        <v>1</v>
      </c>
      <c r="N12" s="144">
        <f>M12*$F12</f>
        <v>6.6666666666666666E-2</v>
      </c>
      <c r="O12" s="147">
        <f>AVERAGE(J12,L12,N12)</f>
        <v>6.6666666666666666E-2</v>
      </c>
      <c r="P12" s="238" t="s">
        <v>90</v>
      </c>
      <c r="Q12" s="8" t="s">
        <v>22</v>
      </c>
    </row>
    <row r="13" spans="1:17" ht="105" customHeight="1" thickTop="1" thickBot="1" x14ac:dyDescent="0.35">
      <c r="A13" s="345"/>
      <c r="B13" s="280"/>
      <c r="C13" s="28" t="s">
        <v>30</v>
      </c>
      <c r="D13" s="18">
        <v>0.03</v>
      </c>
      <c r="E13" s="8" t="s">
        <v>31</v>
      </c>
      <c r="F13" s="18">
        <v>0.03</v>
      </c>
      <c r="G13" s="30" t="s">
        <v>32</v>
      </c>
      <c r="H13" s="17" t="s">
        <v>27</v>
      </c>
      <c r="I13" s="143">
        <v>0.68179999999999996</v>
      </c>
      <c r="J13" s="144">
        <f>I13*$F13</f>
        <v>2.0453999999999996E-2</v>
      </c>
      <c r="K13" s="145">
        <v>0.70830000000000004</v>
      </c>
      <c r="L13" s="144">
        <f>K13*$F13</f>
        <v>2.1249000000000001E-2</v>
      </c>
      <c r="M13" s="184">
        <v>0.69230000000000003</v>
      </c>
      <c r="N13" s="144">
        <f>M13*$F13</f>
        <v>2.0768999999999999E-2</v>
      </c>
      <c r="O13" s="147">
        <f>AVERAGE(J13,L13,N13)</f>
        <v>2.0823999999999999E-2</v>
      </c>
      <c r="P13" s="239" t="s">
        <v>136</v>
      </c>
      <c r="Q13" s="8" t="s">
        <v>22</v>
      </c>
    </row>
    <row r="14" spans="1:17" ht="172.5" customHeight="1" thickTop="1" thickBot="1" x14ac:dyDescent="0.35">
      <c r="A14" s="276"/>
      <c r="B14" s="276"/>
      <c r="C14" s="29" t="s">
        <v>34</v>
      </c>
      <c r="D14" s="15">
        <v>0.02</v>
      </c>
      <c r="E14" s="16" t="s">
        <v>35</v>
      </c>
      <c r="F14" s="15">
        <v>0.02</v>
      </c>
      <c r="G14" s="33" t="s">
        <v>36</v>
      </c>
      <c r="H14" s="2" t="s">
        <v>27</v>
      </c>
      <c r="I14" s="143">
        <v>0.75</v>
      </c>
      <c r="J14" s="144">
        <f>I14*$F14</f>
        <v>1.4999999999999999E-2</v>
      </c>
      <c r="K14" s="143">
        <v>0.75</v>
      </c>
      <c r="L14" s="144">
        <f>K14*$F14</f>
        <v>1.4999999999999999E-2</v>
      </c>
      <c r="M14" s="143">
        <v>0.75</v>
      </c>
      <c r="N14" s="144">
        <f>M14*$F14</f>
        <v>1.4999999999999999E-2</v>
      </c>
      <c r="O14" s="147">
        <f>AVERAGE(J14,L14,N14)</f>
        <v>1.4999999999999999E-2</v>
      </c>
      <c r="P14" s="239" t="s">
        <v>137</v>
      </c>
      <c r="Q14" s="8" t="s">
        <v>22</v>
      </c>
    </row>
    <row r="15" spans="1:17" ht="409.2" customHeight="1" thickTop="1" thickBot="1" x14ac:dyDescent="0.35">
      <c r="A15" s="286" t="s">
        <v>38</v>
      </c>
      <c r="B15" s="302">
        <v>0.25</v>
      </c>
      <c r="C15" s="295" t="s">
        <v>39</v>
      </c>
      <c r="D15" s="275">
        <f>B15</f>
        <v>0.25</v>
      </c>
      <c r="E15" s="12" t="s">
        <v>40</v>
      </c>
      <c r="F15" s="14">
        <f>D15*0.8</f>
        <v>0.2</v>
      </c>
      <c r="G15" s="30" t="s">
        <v>41</v>
      </c>
      <c r="H15" s="11" t="s">
        <v>27</v>
      </c>
      <c r="I15" s="291">
        <f>((0)/(2))</f>
        <v>0</v>
      </c>
      <c r="J15" s="282"/>
      <c r="K15" s="282"/>
      <c r="L15" s="282"/>
      <c r="M15" s="282"/>
      <c r="N15" s="282"/>
      <c r="O15" s="158">
        <f>I15*$F15</f>
        <v>0</v>
      </c>
      <c r="P15" s="211" t="s">
        <v>138</v>
      </c>
      <c r="Q15" s="10" t="s">
        <v>43</v>
      </c>
    </row>
    <row r="16" spans="1:17" ht="130.94999999999999" customHeight="1" thickTop="1" thickBot="1" x14ac:dyDescent="0.35">
      <c r="A16" s="276"/>
      <c r="B16" s="276"/>
      <c r="C16" s="276"/>
      <c r="D16" s="276"/>
      <c r="E16" s="10" t="s">
        <v>44</v>
      </c>
      <c r="F16" s="13">
        <f>D15*0.2</f>
        <v>0.05</v>
      </c>
      <c r="G16" s="32" t="s">
        <v>45</v>
      </c>
      <c r="H16" s="9" t="s">
        <v>27</v>
      </c>
      <c r="I16" s="291">
        <v>0</v>
      </c>
      <c r="J16" s="282"/>
      <c r="K16" s="282"/>
      <c r="L16" s="282"/>
      <c r="M16" s="282"/>
      <c r="N16" s="282"/>
      <c r="O16" s="158">
        <f>I16*$F16</f>
        <v>0</v>
      </c>
      <c r="P16" s="244" t="s">
        <v>139</v>
      </c>
      <c r="Q16" s="10" t="s">
        <v>43</v>
      </c>
    </row>
    <row r="17" spans="1:17" ht="82.95" customHeight="1" thickTop="1" thickBot="1" x14ac:dyDescent="0.35">
      <c r="A17" s="286" t="s">
        <v>47</v>
      </c>
      <c r="B17" s="302">
        <v>0.3</v>
      </c>
      <c r="C17" s="295" t="s">
        <v>48</v>
      </c>
      <c r="D17" s="275">
        <f>$B$17/2</f>
        <v>0.15</v>
      </c>
      <c r="E17" s="324" t="s">
        <v>49</v>
      </c>
      <c r="F17" s="275">
        <f>$B$17/2</f>
        <v>0.15</v>
      </c>
      <c r="G17" s="36" t="s">
        <v>50</v>
      </c>
      <c r="H17" s="11">
        <v>1</v>
      </c>
      <c r="I17" s="281">
        <v>0</v>
      </c>
      <c r="J17" s="298"/>
      <c r="K17" s="298"/>
      <c r="L17" s="298"/>
      <c r="M17" s="298"/>
      <c r="N17" s="299"/>
      <c r="O17" s="310">
        <f>I17*$F17</f>
        <v>0</v>
      </c>
      <c r="P17" s="333" t="s">
        <v>140</v>
      </c>
      <c r="Q17" s="319" t="s">
        <v>43</v>
      </c>
    </row>
    <row r="18" spans="1:17" ht="82.95" customHeight="1" thickTop="1" thickBot="1" x14ac:dyDescent="0.35">
      <c r="A18" s="345"/>
      <c r="B18" s="280"/>
      <c r="C18" s="276"/>
      <c r="D18" s="276"/>
      <c r="E18" s="276"/>
      <c r="F18" s="276"/>
      <c r="G18" s="37" t="s">
        <v>52</v>
      </c>
      <c r="H18" s="9">
        <v>0</v>
      </c>
      <c r="I18" s="276"/>
      <c r="J18" s="276"/>
      <c r="K18" s="276"/>
      <c r="L18" s="276"/>
      <c r="M18" s="276"/>
      <c r="N18" s="300"/>
      <c r="O18" s="311"/>
      <c r="P18" s="276"/>
      <c r="Q18" s="280"/>
    </row>
    <row r="19" spans="1:17" ht="162" customHeight="1" thickTop="1" thickBot="1" x14ac:dyDescent="0.35">
      <c r="A19" s="276"/>
      <c r="B19" s="276"/>
      <c r="C19" s="35" t="s">
        <v>53</v>
      </c>
      <c r="D19" s="6">
        <v>0.15</v>
      </c>
      <c r="E19" s="7" t="s">
        <v>54</v>
      </c>
      <c r="F19" s="6">
        <v>0.15</v>
      </c>
      <c r="G19" s="30" t="s">
        <v>55</v>
      </c>
      <c r="H19" s="6">
        <v>1</v>
      </c>
      <c r="I19" s="291">
        <v>0</v>
      </c>
      <c r="J19" s="282"/>
      <c r="K19" s="282"/>
      <c r="L19" s="282"/>
      <c r="M19" s="282"/>
      <c r="N19" s="282"/>
      <c r="O19" s="147">
        <f>I19*$F19</f>
        <v>0</v>
      </c>
      <c r="P19" s="211" t="s">
        <v>141</v>
      </c>
      <c r="Q19" s="8" t="s">
        <v>43</v>
      </c>
    </row>
    <row r="20" spans="1:17" ht="26.7" customHeight="1" thickTop="1" x14ac:dyDescent="0.3">
      <c r="L20" s="5" t="s">
        <v>57</v>
      </c>
      <c r="M20" s="5"/>
      <c r="N20" s="5"/>
      <c r="O20" s="4">
        <f>SUM(O2:O19)</f>
        <v>0.39960177777777783</v>
      </c>
    </row>
  </sheetData>
  <mergeCells count="48">
    <mergeCell ref="Q6:Q8"/>
    <mergeCell ref="K2:K4"/>
    <mergeCell ref="D6:D9"/>
    <mergeCell ref="D17:D18"/>
    <mergeCell ref="O2:O4"/>
    <mergeCell ref="Q2:Q4"/>
    <mergeCell ref="N6:N8"/>
    <mergeCell ref="D2:D5"/>
    <mergeCell ref="I6:I8"/>
    <mergeCell ref="K6:K8"/>
    <mergeCell ref="L6:L8"/>
    <mergeCell ref="P17:P18"/>
    <mergeCell ref="F17:F18"/>
    <mergeCell ref="J2:J4"/>
    <mergeCell ref="A10:A14"/>
    <mergeCell ref="L2:L4"/>
    <mergeCell ref="B2:B9"/>
    <mergeCell ref="B17:B19"/>
    <mergeCell ref="A2:A9"/>
    <mergeCell ref="A15:A16"/>
    <mergeCell ref="B10:B14"/>
    <mergeCell ref="E2:E4"/>
    <mergeCell ref="E17:E18"/>
    <mergeCell ref="A17:A19"/>
    <mergeCell ref="O6:O8"/>
    <mergeCell ref="B15:B16"/>
    <mergeCell ref="F6:F8"/>
    <mergeCell ref="I2:I4"/>
    <mergeCell ref="D15:D16"/>
    <mergeCell ref="C15:C16"/>
    <mergeCell ref="C6:C9"/>
    <mergeCell ref="I16:N16"/>
    <mergeCell ref="I19:N19"/>
    <mergeCell ref="C17:C18"/>
    <mergeCell ref="O17:O18"/>
    <mergeCell ref="C2:C5"/>
    <mergeCell ref="Q17:Q18"/>
    <mergeCell ref="J6:J8"/>
    <mergeCell ref="M2:M4"/>
    <mergeCell ref="P6:P8"/>
    <mergeCell ref="P2:P4"/>
    <mergeCell ref="E6:E8"/>
    <mergeCell ref="I15:N15"/>
    <mergeCell ref="I17:N18"/>
    <mergeCell ref="M6:M8"/>
    <mergeCell ref="I11:N11"/>
    <mergeCell ref="F2:F4"/>
    <mergeCell ref="N2:N4"/>
  </mergeCells>
  <printOptions horizontalCentered="1"/>
  <pageMargins left="0.23622047244094491" right="0.23622047244094491" top="0.74803149606299213" bottom="0.74803149606299213" header="0.31496062992125978" footer="0.31496062992125978"/>
  <pageSetup scale="42" fitToHeight="0" orientation="landscape"/>
  <rowBreaks count="1" manualBreakCount="1">
    <brk id="1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6">
    <tabColor theme="7" tint="0.39997558519241921"/>
  </sheetPr>
  <dimension ref="A1:Q13"/>
  <sheetViews>
    <sheetView topLeftCell="F9" zoomScale="60" zoomScaleNormal="60" zoomScaleSheetLayoutView="80" workbookViewId="0">
      <selection activeCell="E5" sqref="E5"/>
    </sheetView>
  </sheetViews>
  <sheetFormatPr baseColWidth="10" defaultColWidth="11.44140625" defaultRowHeight="21" x14ac:dyDescent="0.3"/>
  <cols>
    <col min="1" max="1" width="20.6640625" style="3" customWidth="1"/>
    <col min="2" max="2" width="9.109375" customWidth="1"/>
    <col min="3" max="3" width="39.109375" style="2" customWidth="1"/>
    <col min="4" max="4" width="9.44140625" customWidth="1"/>
    <col min="5" max="5" width="40.6640625" style="1" customWidth="1"/>
    <col min="6" max="6" width="10.33203125" customWidth="1"/>
    <col min="7" max="7" width="56.5546875" customWidth="1"/>
    <col min="8" max="8" width="10.109375" customWidth="1"/>
    <col min="9" max="13" width="32.5546875" style="115" customWidth="1"/>
    <col min="14" max="15" width="32.5546875" customWidth="1"/>
    <col min="16" max="16" width="127.33203125" style="204" customWidth="1"/>
    <col min="17" max="22" width="32.554687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26" t="s">
        <v>16</v>
      </c>
    </row>
    <row r="2" spans="1:17" ht="36.6" customHeight="1" thickTop="1" thickBot="1" x14ac:dyDescent="0.4">
      <c r="A2" s="397" t="s">
        <v>17</v>
      </c>
      <c r="B2" s="393">
        <v>0.2</v>
      </c>
      <c r="C2" s="400" t="s">
        <v>18</v>
      </c>
      <c r="D2" s="395">
        <v>0.2</v>
      </c>
      <c r="E2" s="392" t="s">
        <v>19</v>
      </c>
      <c r="F2" s="401">
        <v>0.1</v>
      </c>
      <c r="G2" s="88" t="s">
        <v>20</v>
      </c>
      <c r="H2" s="94">
        <v>1</v>
      </c>
      <c r="I2" s="301">
        <v>0.5</v>
      </c>
      <c r="J2" s="288">
        <f>I2*$F2</f>
        <v>0.05</v>
      </c>
      <c r="K2" s="301">
        <v>0.5</v>
      </c>
      <c r="L2" s="288">
        <f>K2*$F2</f>
        <v>0.05</v>
      </c>
      <c r="M2" s="301">
        <v>0.5</v>
      </c>
      <c r="N2" s="288">
        <f>M2*$F2</f>
        <v>0.05</v>
      </c>
      <c r="O2" s="303">
        <f>AVERAGE(J2,L2,N2)</f>
        <v>5.000000000000001E-2</v>
      </c>
      <c r="P2" s="382" t="s">
        <v>142</v>
      </c>
      <c r="Q2" s="392" t="s">
        <v>22</v>
      </c>
    </row>
    <row r="3" spans="1:17" ht="36.6" customHeight="1" thickTop="1" thickBot="1" x14ac:dyDescent="0.4">
      <c r="A3" s="345"/>
      <c r="B3" s="280"/>
      <c r="C3" s="307"/>
      <c r="D3" s="280"/>
      <c r="E3" s="346"/>
      <c r="F3" s="280"/>
      <c r="G3" s="88" t="s">
        <v>23</v>
      </c>
      <c r="H3" s="87">
        <v>0.8</v>
      </c>
      <c r="I3" s="289"/>
      <c r="J3" s="289"/>
      <c r="K3" s="289"/>
      <c r="L3" s="289"/>
      <c r="M3" s="289"/>
      <c r="N3" s="289"/>
      <c r="O3" s="304"/>
      <c r="P3" s="289"/>
      <c r="Q3" s="280"/>
    </row>
    <row r="4" spans="1:17" ht="51" customHeight="1" thickTop="1" thickBot="1" x14ac:dyDescent="0.4">
      <c r="A4" s="345"/>
      <c r="B4" s="280"/>
      <c r="C4" s="307"/>
      <c r="D4" s="280"/>
      <c r="E4" s="346"/>
      <c r="F4" s="280"/>
      <c r="G4" s="88" t="s">
        <v>24</v>
      </c>
      <c r="H4" s="91">
        <v>0.5</v>
      </c>
      <c r="I4" s="290"/>
      <c r="J4" s="290"/>
      <c r="K4" s="290"/>
      <c r="L4" s="290"/>
      <c r="M4" s="290"/>
      <c r="N4" s="290"/>
      <c r="O4" s="305"/>
      <c r="P4" s="290"/>
      <c r="Q4" s="280"/>
    </row>
    <row r="5" spans="1:17" ht="191.25" customHeight="1" thickTop="1" thickBot="1" x14ac:dyDescent="0.35">
      <c r="A5" s="345"/>
      <c r="B5" s="276"/>
      <c r="C5" s="307"/>
      <c r="D5" s="280"/>
      <c r="E5" s="89" t="s">
        <v>25</v>
      </c>
      <c r="F5" s="90">
        <v>0.1</v>
      </c>
      <c r="G5" s="38" t="s">
        <v>26</v>
      </c>
      <c r="H5" s="92" t="s">
        <v>27</v>
      </c>
      <c r="I5" s="155">
        <v>0.5</v>
      </c>
      <c r="J5" s="153">
        <f>I5*$F5</f>
        <v>0.05</v>
      </c>
      <c r="K5" s="156">
        <v>0.5</v>
      </c>
      <c r="L5" s="153">
        <f>K5*$F5</f>
        <v>0.05</v>
      </c>
      <c r="M5" s="165">
        <v>0.5</v>
      </c>
      <c r="N5" s="153">
        <f>M5*$F5</f>
        <v>0.05</v>
      </c>
      <c r="O5" s="154">
        <f>AVERAGE(J5,L5,N5)</f>
        <v>5.000000000000001E-2</v>
      </c>
      <c r="P5" s="205" t="s">
        <v>143</v>
      </c>
      <c r="Q5" s="89" t="s">
        <v>22</v>
      </c>
    </row>
    <row r="6" spans="1:17" ht="121.5" customHeight="1" thickTop="1" thickBot="1" x14ac:dyDescent="0.35">
      <c r="A6" s="394" t="s">
        <v>29</v>
      </c>
      <c r="B6" s="302">
        <v>0.25</v>
      </c>
      <c r="C6" s="95" t="s">
        <v>30</v>
      </c>
      <c r="D6" s="96">
        <f>B6/2</f>
        <v>0.125</v>
      </c>
      <c r="E6" s="97" t="s">
        <v>31</v>
      </c>
      <c r="F6" s="96">
        <f>D6</f>
        <v>0.125</v>
      </c>
      <c r="G6" s="98" t="s">
        <v>32</v>
      </c>
      <c r="H6" s="99" t="s">
        <v>27</v>
      </c>
      <c r="I6" s="148">
        <v>1</v>
      </c>
      <c r="J6" s="149">
        <f>I6*$F6</f>
        <v>0.125</v>
      </c>
      <c r="K6" s="150">
        <v>1</v>
      </c>
      <c r="L6" s="149">
        <f>K6*$F6</f>
        <v>0.125</v>
      </c>
      <c r="M6" s="140">
        <v>1</v>
      </c>
      <c r="N6" s="149">
        <f>M6*$F6</f>
        <v>0.125</v>
      </c>
      <c r="O6" s="147">
        <f>AVERAGE(J6,L6,N6)</f>
        <v>0.125</v>
      </c>
      <c r="P6" s="207" t="s">
        <v>144</v>
      </c>
      <c r="Q6" s="97" t="s">
        <v>22</v>
      </c>
    </row>
    <row r="7" spans="1:17" ht="148.19999999999999" customHeight="1" thickTop="1" thickBot="1" x14ac:dyDescent="0.35">
      <c r="A7" s="345"/>
      <c r="B7" s="276"/>
      <c r="C7" s="100" t="s">
        <v>34</v>
      </c>
      <c r="D7" s="85">
        <f>B6/2</f>
        <v>0.125</v>
      </c>
      <c r="E7" s="86" t="s">
        <v>35</v>
      </c>
      <c r="F7" s="85">
        <f>D7</f>
        <v>0.125</v>
      </c>
      <c r="G7" s="101" t="s">
        <v>36</v>
      </c>
      <c r="H7" s="102" t="s">
        <v>27</v>
      </c>
      <c r="I7" s="148">
        <v>0</v>
      </c>
      <c r="J7" s="149">
        <f>I7*$F7</f>
        <v>0</v>
      </c>
      <c r="K7" s="150">
        <v>0</v>
      </c>
      <c r="L7" s="149">
        <f>K7*$F7</f>
        <v>0</v>
      </c>
      <c r="M7" s="150">
        <v>0</v>
      </c>
      <c r="N7" s="149">
        <f>M7*$F7</f>
        <v>0</v>
      </c>
      <c r="O7" s="147">
        <f>AVERAGE(J7,L7,N7)</f>
        <v>0</v>
      </c>
      <c r="P7" s="207" t="s">
        <v>145</v>
      </c>
      <c r="Q7" s="86" t="s">
        <v>22</v>
      </c>
    </row>
    <row r="8" spans="1:17" ht="127.95" customHeight="1" thickTop="1" thickBot="1" x14ac:dyDescent="0.35">
      <c r="A8" s="394" t="s">
        <v>38</v>
      </c>
      <c r="B8" s="399">
        <v>0.25</v>
      </c>
      <c r="C8" s="396" t="s">
        <v>39</v>
      </c>
      <c r="D8" s="391">
        <f>B8</f>
        <v>0.25</v>
      </c>
      <c r="E8" s="93" t="s">
        <v>40</v>
      </c>
      <c r="F8" s="104">
        <f>D8*0.8</f>
        <v>0.2</v>
      </c>
      <c r="G8" s="105" t="s">
        <v>41</v>
      </c>
      <c r="H8" s="103" t="s">
        <v>27</v>
      </c>
      <c r="I8" s="291">
        <f>((0)/(1))</f>
        <v>0</v>
      </c>
      <c r="J8" s="282"/>
      <c r="K8" s="282"/>
      <c r="L8" s="282"/>
      <c r="M8" s="282"/>
      <c r="N8" s="282"/>
      <c r="O8" s="158">
        <f>I8*$F8</f>
        <v>0</v>
      </c>
      <c r="P8" s="208" t="s">
        <v>146</v>
      </c>
      <c r="Q8" s="93" t="s">
        <v>43</v>
      </c>
    </row>
    <row r="9" spans="1:17" ht="127.95" customHeight="1" thickTop="1" thickBot="1" x14ac:dyDescent="0.35">
      <c r="A9" s="345"/>
      <c r="B9" s="280"/>
      <c r="C9" s="307"/>
      <c r="D9" s="280"/>
      <c r="E9" s="89" t="s">
        <v>44</v>
      </c>
      <c r="F9" s="107">
        <f>D8*0.2</f>
        <v>0.05</v>
      </c>
      <c r="G9" s="108" t="s">
        <v>45</v>
      </c>
      <c r="H9" s="106" t="s">
        <v>27</v>
      </c>
      <c r="I9" s="291">
        <v>0</v>
      </c>
      <c r="J9" s="282"/>
      <c r="K9" s="282"/>
      <c r="L9" s="282"/>
      <c r="M9" s="282"/>
      <c r="N9" s="282"/>
      <c r="O9" s="158">
        <f>I9*$F9</f>
        <v>0</v>
      </c>
      <c r="P9" s="209"/>
      <c r="Q9" s="89" t="s">
        <v>43</v>
      </c>
    </row>
    <row r="10" spans="1:17" ht="66" customHeight="1" thickTop="1" thickBot="1" x14ac:dyDescent="0.35">
      <c r="A10" s="394" t="s">
        <v>47</v>
      </c>
      <c r="B10" s="399">
        <v>0.3</v>
      </c>
      <c r="C10" s="396" t="s">
        <v>48</v>
      </c>
      <c r="D10" s="391">
        <f>$B$10/2</f>
        <v>0.15</v>
      </c>
      <c r="E10" s="392" t="s">
        <v>49</v>
      </c>
      <c r="F10" s="391">
        <f>$B$10/2</f>
        <v>0.15</v>
      </c>
      <c r="G10" s="109" t="s">
        <v>50</v>
      </c>
      <c r="H10" s="103">
        <v>1</v>
      </c>
      <c r="I10" s="281">
        <v>0</v>
      </c>
      <c r="J10" s="298"/>
      <c r="K10" s="298"/>
      <c r="L10" s="298"/>
      <c r="M10" s="298"/>
      <c r="N10" s="299"/>
      <c r="O10" s="310">
        <f>I10*$F10</f>
        <v>0</v>
      </c>
      <c r="P10" s="398" t="s">
        <v>147</v>
      </c>
      <c r="Q10" s="392" t="s">
        <v>43</v>
      </c>
    </row>
    <row r="11" spans="1:17" ht="73.2" customHeight="1" thickTop="1" thickBot="1" x14ac:dyDescent="0.35">
      <c r="A11" s="345"/>
      <c r="B11" s="280"/>
      <c r="C11" s="307"/>
      <c r="D11" s="280"/>
      <c r="E11" s="346"/>
      <c r="F11" s="280"/>
      <c r="G11" s="110" t="s">
        <v>52</v>
      </c>
      <c r="H11" s="106">
        <v>0</v>
      </c>
      <c r="I11" s="276"/>
      <c r="J11" s="276"/>
      <c r="K11" s="276"/>
      <c r="L11" s="276"/>
      <c r="M11" s="276"/>
      <c r="N11" s="300"/>
      <c r="O11" s="311"/>
      <c r="P11" s="276"/>
      <c r="Q11" s="280"/>
    </row>
    <row r="12" spans="1:17" ht="121.2" customHeight="1" thickTop="1" thickBot="1" x14ac:dyDescent="0.35">
      <c r="A12" s="345"/>
      <c r="B12" s="280"/>
      <c r="C12" s="111" t="s">
        <v>53</v>
      </c>
      <c r="D12" s="112">
        <v>0.15</v>
      </c>
      <c r="E12" s="113" t="s">
        <v>54</v>
      </c>
      <c r="F12" s="112">
        <v>0.15</v>
      </c>
      <c r="G12" s="98" t="s">
        <v>55</v>
      </c>
      <c r="H12" s="112">
        <v>1</v>
      </c>
      <c r="I12" s="281">
        <v>0.33329999999999999</v>
      </c>
      <c r="J12" s="282"/>
      <c r="K12" s="282"/>
      <c r="L12" s="282"/>
      <c r="M12" s="282"/>
      <c r="N12" s="283"/>
      <c r="O12" s="147">
        <f>I12*$F12</f>
        <v>4.9994999999999998E-2</v>
      </c>
      <c r="P12" s="208" t="s">
        <v>148</v>
      </c>
      <c r="Q12" s="113" t="s">
        <v>43</v>
      </c>
    </row>
    <row r="13" spans="1:17" ht="26.7" customHeight="1" thickTop="1" x14ac:dyDescent="0.3">
      <c r="L13" s="5" t="s">
        <v>57</v>
      </c>
      <c r="M13" s="5"/>
      <c r="N13" s="5"/>
      <c r="O13" s="4">
        <f>SUM(O2:O12)</f>
        <v>0.27499500000000004</v>
      </c>
    </row>
  </sheetData>
  <mergeCells count="34">
    <mergeCell ref="F2:F4"/>
    <mergeCell ref="N2:N4"/>
    <mergeCell ref="A6:A7"/>
    <mergeCell ref="D2:D5"/>
    <mergeCell ref="Q10:Q11"/>
    <mergeCell ref="A10:A12"/>
    <mergeCell ref="J2:J4"/>
    <mergeCell ref="L2:L4"/>
    <mergeCell ref="I8:N8"/>
    <mergeCell ref="B6:B7"/>
    <mergeCell ref="I2:I4"/>
    <mergeCell ref="A8:A9"/>
    <mergeCell ref="C8:C9"/>
    <mergeCell ref="A2:A5"/>
    <mergeCell ref="P10:P11"/>
    <mergeCell ref="I10:N11"/>
    <mergeCell ref="K2:K4"/>
    <mergeCell ref="B8:B9"/>
    <mergeCell ref="F10:F11"/>
    <mergeCell ref="E2:E4"/>
    <mergeCell ref="Q2:Q4"/>
    <mergeCell ref="I12:N12"/>
    <mergeCell ref="B2:B5"/>
    <mergeCell ref="E10:E11"/>
    <mergeCell ref="O2:O4"/>
    <mergeCell ref="C10:C11"/>
    <mergeCell ref="C2:C5"/>
    <mergeCell ref="D8:D9"/>
    <mergeCell ref="I9:N9"/>
    <mergeCell ref="M2:M4"/>
    <mergeCell ref="P2:P4"/>
    <mergeCell ref="O10:O11"/>
    <mergeCell ref="D10:D11"/>
    <mergeCell ref="B10:B12"/>
  </mergeCells>
  <printOptions horizontalCentered="1"/>
  <pageMargins left="0.23622047244094491" right="0.23622047244094491" top="0.74803149606299213" bottom="0.74803149606299213" header="0.31496062992125978" footer="0.31496062992125978"/>
  <pageSetup scale="43"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tabColor theme="7" tint="0.39997558519241921"/>
  </sheetPr>
  <dimension ref="A1:Q26"/>
  <sheetViews>
    <sheetView topLeftCell="A20" zoomScale="48" zoomScaleNormal="60" zoomScaleSheetLayoutView="70" workbookViewId="0">
      <selection activeCell="A22" sqref="A22:A24"/>
    </sheetView>
  </sheetViews>
  <sheetFormatPr baseColWidth="10" defaultColWidth="11.44140625" defaultRowHeight="23.4" x14ac:dyDescent="0.3"/>
  <cols>
    <col min="1" max="1" width="20.6640625" style="81" customWidth="1"/>
    <col min="2" max="2" width="16.6640625" style="55" customWidth="1"/>
    <col min="3" max="3" width="26.88671875" style="73" customWidth="1"/>
    <col min="4" max="4" width="8.5546875" style="55" customWidth="1"/>
    <col min="5" max="5" width="43.33203125" style="82" customWidth="1"/>
    <col min="6" max="6" width="20.109375" style="55" customWidth="1"/>
    <col min="7" max="7" width="59.109375" style="55" customWidth="1"/>
    <col min="8" max="8" width="10.109375" style="118" customWidth="1"/>
    <col min="9" max="15" width="26" customWidth="1"/>
    <col min="16" max="16" width="255.44140625" style="215" customWidth="1"/>
    <col min="17" max="34" width="39.33203125" customWidth="1"/>
  </cols>
  <sheetData>
    <row r="1" spans="1:17" s="83"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83" t="s">
        <v>16</v>
      </c>
    </row>
    <row r="2" spans="1:17" ht="33.6" customHeight="1" thickTop="1" thickBot="1" x14ac:dyDescent="0.35">
      <c r="A2" s="344" t="s">
        <v>17</v>
      </c>
      <c r="B2" s="342">
        <v>0.2</v>
      </c>
      <c r="C2" s="306" t="s">
        <v>77</v>
      </c>
      <c r="D2" s="340">
        <f>$B$2/3</f>
        <v>6.6666666666666666E-2</v>
      </c>
      <c r="E2" s="324" t="s">
        <v>19</v>
      </c>
      <c r="F2" s="337">
        <f>$B$2/6</f>
        <v>3.3333333333333333E-2</v>
      </c>
      <c r="G2" s="56" t="s">
        <v>20</v>
      </c>
      <c r="H2" s="116">
        <v>1</v>
      </c>
      <c r="I2" s="292">
        <v>1</v>
      </c>
      <c r="J2" s="288">
        <f>I2*$F2</f>
        <v>3.3333333333333333E-2</v>
      </c>
      <c r="K2" s="301">
        <v>1</v>
      </c>
      <c r="L2" s="288">
        <f>K2*$F2</f>
        <v>3.3333333333333333E-2</v>
      </c>
      <c r="M2" s="405">
        <v>1</v>
      </c>
      <c r="N2" s="303">
        <f>M2*$F2</f>
        <v>3.3333333333333333E-2</v>
      </c>
      <c r="O2" s="418">
        <f>AVERAGE(J2,L2,N2)</f>
        <v>3.3333333333333333E-2</v>
      </c>
      <c r="P2" s="414" t="s">
        <v>149</v>
      </c>
      <c r="Q2" s="324" t="s">
        <v>22</v>
      </c>
    </row>
    <row r="3" spans="1:17" ht="50.25" customHeight="1" thickTop="1" thickBot="1" x14ac:dyDescent="0.35">
      <c r="A3" s="335"/>
      <c r="B3" s="332"/>
      <c r="C3" s="317"/>
      <c r="D3" s="332"/>
      <c r="E3" s="325"/>
      <c r="F3" s="332"/>
      <c r="G3" s="56" t="s">
        <v>23</v>
      </c>
      <c r="H3" s="117">
        <v>0.8</v>
      </c>
      <c r="I3" s="293"/>
      <c r="J3" s="289"/>
      <c r="K3" s="289"/>
      <c r="L3" s="289"/>
      <c r="M3" s="289"/>
      <c r="N3" s="304"/>
      <c r="O3" s="385"/>
      <c r="P3" s="415"/>
      <c r="Q3" s="280"/>
    </row>
    <row r="4" spans="1:17" ht="56.25" customHeight="1" thickTop="1" thickBot="1" x14ac:dyDescent="0.35">
      <c r="A4" s="335"/>
      <c r="B4" s="332"/>
      <c r="C4" s="317"/>
      <c r="D4" s="332"/>
      <c r="E4" s="276"/>
      <c r="F4" s="276"/>
      <c r="G4" s="56" t="s">
        <v>24</v>
      </c>
      <c r="H4" s="63">
        <v>0</v>
      </c>
      <c r="I4" s="294"/>
      <c r="J4" s="290"/>
      <c r="K4" s="290"/>
      <c r="L4" s="290"/>
      <c r="M4" s="290"/>
      <c r="N4" s="305"/>
      <c r="O4" s="386"/>
      <c r="P4" s="376"/>
      <c r="Q4" s="276"/>
    </row>
    <row r="5" spans="1:17" ht="132.75" customHeight="1" thickTop="1" thickBot="1" x14ac:dyDescent="0.35">
      <c r="A5" s="335"/>
      <c r="B5" s="332"/>
      <c r="C5" s="276"/>
      <c r="D5" s="276"/>
      <c r="E5" s="10" t="s">
        <v>25</v>
      </c>
      <c r="F5" s="60">
        <f>$B$2/6</f>
        <v>3.3333333333333333E-2</v>
      </c>
      <c r="G5" s="38" t="s">
        <v>26</v>
      </c>
      <c r="H5" s="63" t="s">
        <v>27</v>
      </c>
      <c r="I5" s="138">
        <v>1</v>
      </c>
      <c r="J5" s="139">
        <f>I5*$F5</f>
        <v>3.3333333333333333E-2</v>
      </c>
      <c r="K5" s="140">
        <v>1</v>
      </c>
      <c r="L5" s="139">
        <f>K5*$F5</f>
        <v>3.3333333333333333E-2</v>
      </c>
      <c r="M5" s="141">
        <v>1</v>
      </c>
      <c r="N5" s="142">
        <f>M5*$F5</f>
        <v>3.3333333333333333E-2</v>
      </c>
      <c r="O5" s="221">
        <f>AVERAGE(J5,L5,N5)</f>
        <v>3.3333333333333333E-2</v>
      </c>
      <c r="P5" s="250" t="s">
        <v>150</v>
      </c>
      <c r="Q5" s="10" t="s">
        <v>22</v>
      </c>
    </row>
    <row r="6" spans="1:17" ht="18.600000000000001" customHeight="1" thickTop="1" thickBot="1" x14ac:dyDescent="0.35">
      <c r="A6" s="335"/>
      <c r="B6" s="332"/>
      <c r="C6" s="306" t="s">
        <v>115</v>
      </c>
      <c r="D6" s="340">
        <f>$B$2/3</f>
        <v>6.6666666666666666E-2</v>
      </c>
      <c r="E6" s="324" t="s">
        <v>19</v>
      </c>
      <c r="F6" s="337">
        <f>$B$2/6</f>
        <v>3.3333333333333333E-2</v>
      </c>
      <c r="G6" s="56" t="s">
        <v>20</v>
      </c>
      <c r="H6" s="116">
        <v>1</v>
      </c>
      <c r="I6" s="292">
        <v>0.9667</v>
      </c>
      <c r="J6" s="288">
        <f>I6*$F6</f>
        <v>3.2223333333333333E-2</v>
      </c>
      <c r="K6" s="301">
        <v>0.9667</v>
      </c>
      <c r="L6" s="288">
        <f>K6*$F6</f>
        <v>3.2223333333333333E-2</v>
      </c>
      <c r="M6" s="405">
        <v>1</v>
      </c>
      <c r="N6" s="303">
        <f>M6*$F6</f>
        <v>3.3333333333333333E-2</v>
      </c>
      <c r="O6" s="406">
        <f>AVERAGE(J6,L6,N6)</f>
        <v>3.2593333333333335E-2</v>
      </c>
      <c r="P6" s="402" t="s">
        <v>116</v>
      </c>
      <c r="Q6" s="324" t="s">
        <v>22</v>
      </c>
    </row>
    <row r="7" spans="1:17" ht="18.600000000000001" customHeight="1" thickTop="1" thickBot="1" x14ac:dyDescent="0.35">
      <c r="A7" s="335"/>
      <c r="B7" s="332"/>
      <c r="C7" s="317"/>
      <c r="D7" s="332"/>
      <c r="E7" s="325"/>
      <c r="F7" s="332"/>
      <c r="G7" s="56" t="s">
        <v>23</v>
      </c>
      <c r="H7" s="117">
        <v>0.8</v>
      </c>
      <c r="I7" s="293"/>
      <c r="J7" s="289"/>
      <c r="K7" s="289"/>
      <c r="L7" s="289"/>
      <c r="M7" s="289"/>
      <c r="N7" s="304"/>
      <c r="O7" s="385"/>
      <c r="P7" s="403"/>
      <c r="Q7" s="280"/>
    </row>
    <row r="8" spans="1:17" ht="65.25" customHeight="1" thickTop="1" thickBot="1" x14ac:dyDescent="0.35">
      <c r="A8" s="335"/>
      <c r="B8" s="332"/>
      <c r="C8" s="317"/>
      <c r="D8" s="332"/>
      <c r="E8" s="276"/>
      <c r="F8" s="276"/>
      <c r="G8" s="56" t="s">
        <v>24</v>
      </c>
      <c r="H8" s="63">
        <v>0</v>
      </c>
      <c r="I8" s="294"/>
      <c r="J8" s="290"/>
      <c r="K8" s="290"/>
      <c r="L8" s="290"/>
      <c r="M8" s="290"/>
      <c r="N8" s="305"/>
      <c r="O8" s="386"/>
      <c r="P8" s="404"/>
      <c r="Q8" s="276"/>
    </row>
    <row r="9" spans="1:17" ht="129" customHeight="1" thickTop="1" thickBot="1" x14ac:dyDescent="0.35">
      <c r="A9" s="335"/>
      <c r="B9" s="332"/>
      <c r="C9" s="276"/>
      <c r="D9" s="276"/>
      <c r="E9" s="10" t="s">
        <v>25</v>
      </c>
      <c r="F9" s="60">
        <f>$B$2/6</f>
        <v>3.3333333333333333E-2</v>
      </c>
      <c r="G9" s="38" t="s">
        <v>26</v>
      </c>
      <c r="H9" s="63" t="s">
        <v>27</v>
      </c>
      <c r="I9" s="138">
        <v>1</v>
      </c>
      <c r="J9" s="139">
        <f>I9*$F9</f>
        <v>3.3333333333333333E-2</v>
      </c>
      <c r="K9" s="140">
        <v>1</v>
      </c>
      <c r="L9" s="139">
        <f>K9*$F9</f>
        <v>3.3333333333333333E-2</v>
      </c>
      <c r="M9" s="141">
        <v>0.75</v>
      </c>
      <c r="N9" s="142">
        <f>M9*$F9</f>
        <v>2.5000000000000001E-2</v>
      </c>
      <c r="O9" s="221">
        <f>AVERAGE(J9,L9,N9)</f>
        <v>3.0555555555555558E-2</v>
      </c>
      <c r="P9" s="218" t="s">
        <v>151</v>
      </c>
      <c r="Q9" s="10" t="s">
        <v>22</v>
      </c>
    </row>
    <row r="10" spans="1:17" ht="129" customHeight="1" thickTop="1" thickBot="1" x14ac:dyDescent="0.35">
      <c r="A10" s="335"/>
      <c r="B10" s="332"/>
      <c r="C10" s="306" t="s">
        <v>18</v>
      </c>
      <c r="D10" s="340">
        <f>$B$2/3</f>
        <v>6.6666666666666666E-2</v>
      </c>
      <c r="E10" s="324" t="s">
        <v>19</v>
      </c>
      <c r="F10" s="337">
        <f>$B$2/6</f>
        <v>3.3333333333333333E-2</v>
      </c>
      <c r="G10" s="56" t="s">
        <v>20</v>
      </c>
      <c r="H10" s="116">
        <v>1</v>
      </c>
      <c r="I10" s="301">
        <v>1</v>
      </c>
      <c r="J10" s="288">
        <f>I10*$F10</f>
        <v>3.3333333333333333E-2</v>
      </c>
      <c r="K10" s="301">
        <v>1</v>
      </c>
      <c r="L10" s="288">
        <f>K10*$F10</f>
        <v>3.3333333333333333E-2</v>
      </c>
      <c r="M10" s="301">
        <v>1</v>
      </c>
      <c r="N10" s="303">
        <f>M10*$F10</f>
        <v>3.3333333333333333E-2</v>
      </c>
      <c r="O10" s="406">
        <f>AVERAGE(J10,L10,N10)</f>
        <v>3.3333333333333333E-2</v>
      </c>
      <c r="P10" s="413" t="s">
        <v>21</v>
      </c>
      <c r="Q10" s="324" t="s">
        <v>22</v>
      </c>
    </row>
    <row r="11" spans="1:17" ht="21" customHeight="1" thickTop="1" thickBot="1" x14ac:dyDescent="0.35">
      <c r="A11" s="335"/>
      <c r="B11" s="332"/>
      <c r="C11" s="317"/>
      <c r="D11" s="332"/>
      <c r="E11" s="325"/>
      <c r="F11" s="332"/>
      <c r="G11" s="56" t="s">
        <v>23</v>
      </c>
      <c r="H11" s="117">
        <v>0.8</v>
      </c>
      <c r="I11" s="289"/>
      <c r="J11" s="289"/>
      <c r="K11" s="289"/>
      <c r="L11" s="289"/>
      <c r="M11" s="289"/>
      <c r="N11" s="304"/>
      <c r="O11" s="385"/>
      <c r="P11" s="293"/>
      <c r="Q11" s="280"/>
    </row>
    <row r="12" spans="1:17" ht="54" customHeight="1" thickTop="1" thickBot="1" x14ac:dyDescent="0.35">
      <c r="A12" s="335"/>
      <c r="B12" s="332"/>
      <c r="C12" s="317"/>
      <c r="D12" s="332"/>
      <c r="E12" s="276"/>
      <c r="F12" s="276"/>
      <c r="G12" s="56" t="s">
        <v>24</v>
      </c>
      <c r="H12" s="63">
        <v>0.5</v>
      </c>
      <c r="I12" s="290"/>
      <c r="J12" s="290"/>
      <c r="K12" s="290"/>
      <c r="L12" s="290"/>
      <c r="M12" s="290"/>
      <c r="N12" s="305"/>
      <c r="O12" s="386"/>
      <c r="P12" s="294"/>
      <c r="Q12" s="276"/>
    </row>
    <row r="13" spans="1:17" ht="159" customHeight="1" thickTop="1" thickBot="1" x14ac:dyDescent="0.35">
      <c r="A13" s="276"/>
      <c r="B13" s="276"/>
      <c r="C13" s="276"/>
      <c r="D13" s="276"/>
      <c r="E13" s="10" t="s">
        <v>25</v>
      </c>
      <c r="F13" s="60">
        <f>$B$2/6</f>
        <v>3.3333333333333333E-2</v>
      </c>
      <c r="G13" s="38" t="s">
        <v>26</v>
      </c>
      <c r="H13" s="63" t="s">
        <v>27</v>
      </c>
      <c r="I13" s="165">
        <v>1</v>
      </c>
      <c r="J13" s="139">
        <f>I13*$F13</f>
        <v>3.3333333333333333E-2</v>
      </c>
      <c r="K13" s="140">
        <v>1</v>
      </c>
      <c r="L13" s="139">
        <f>K13*$F13</f>
        <v>3.3333333333333333E-2</v>
      </c>
      <c r="M13" s="165">
        <v>1</v>
      </c>
      <c r="N13" s="142">
        <f>M13*$F13</f>
        <v>3.3333333333333333E-2</v>
      </c>
      <c r="O13" s="221">
        <f>AVERAGE(J13,L13,N13)</f>
        <v>3.3333333333333333E-2</v>
      </c>
      <c r="P13" s="219" t="s">
        <v>98</v>
      </c>
      <c r="Q13" s="10" t="s">
        <v>22</v>
      </c>
    </row>
    <row r="14" spans="1:17" ht="99.75" customHeight="1" thickTop="1" thickBot="1" x14ac:dyDescent="0.35">
      <c r="A14" s="344" t="s">
        <v>29</v>
      </c>
      <c r="B14" s="342">
        <v>0.25</v>
      </c>
      <c r="C14" s="64" t="s">
        <v>77</v>
      </c>
      <c r="D14" s="65">
        <v>0.05</v>
      </c>
      <c r="E14" s="8" t="s">
        <v>81</v>
      </c>
      <c r="F14" s="65">
        <v>0.05</v>
      </c>
      <c r="G14" s="66" t="s">
        <v>82</v>
      </c>
      <c r="H14" s="67" t="s">
        <v>27</v>
      </c>
      <c r="I14" s="41">
        <v>1</v>
      </c>
      <c r="J14" s="144">
        <f>I14*$F14</f>
        <v>0.05</v>
      </c>
      <c r="K14" s="145">
        <v>1</v>
      </c>
      <c r="L14" s="144">
        <f>K14*$F14</f>
        <v>0.05</v>
      </c>
      <c r="M14" s="41">
        <v>1</v>
      </c>
      <c r="N14" s="147">
        <f>M14*$F14</f>
        <v>0.05</v>
      </c>
      <c r="O14" s="222">
        <f>AVERAGE(J14,L14,N14)</f>
        <v>5.000000000000001E-2</v>
      </c>
      <c r="P14" s="216" t="s">
        <v>83</v>
      </c>
      <c r="Q14" s="8" t="s">
        <v>22</v>
      </c>
    </row>
    <row r="15" spans="1:17" ht="150.75" customHeight="1" thickTop="1" thickBot="1" x14ac:dyDescent="0.35">
      <c r="A15" s="335"/>
      <c r="B15" s="332"/>
      <c r="C15" s="64" t="s">
        <v>115</v>
      </c>
      <c r="D15" s="65">
        <v>0.05</v>
      </c>
      <c r="E15" s="8" t="s">
        <v>119</v>
      </c>
      <c r="F15" s="65">
        <v>0.05</v>
      </c>
      <c r="G15" s="122" t="s">
        <v>120</v>
      </c>
      <c r="H15" s="67" t="s">
        <v>27</v>
      </c>
      <c r="I15" s="41">
        <v>0.84950000000000003</v>
      </c>
      <c r="J15" s="144">
        <f>I15*$F15</f>
        <v>4.2475000000000006E-2</v>
      </c>
      <c r="K15" s="145">
        <v>0.77110000000000001</v>
      </c>
      <c r="L15" s="144">
        <f>K15*$F15</f>
        <v>3.8555000000000006E-2</v>
      </c>
      <c r="M15" s="41">
        <v>0.56030000000000002</v>
      </c>
      <c r="N15" s="147">
        <f>M15*$F15</f>
        <v>2.8015000000000002E-2</v>
      </c>
      <c r="O15" s="222">
        <f>AVERAGE(J15,L15,N15)</f>
        <v>3.6348333333333337E-2</v>
      </c>
      <c r="P15" s="218" t="s">
        <v>121</v>
      </c>
      <c r="Q15" s="8" t="s">
        <v>22</v>
      </c>
    </row>
    <row r="16" spans="1:17" ht="408.6" customHeight="1" thickTop="1" thickBot="1" x14ac:dyDescent="0.35">
      <c r="A16" s="335"/>
      <c r="B16" s="332"/>
      <c r="C16" s="64" t="s">
        <v>84</v>
      </c>
      <c r="D16" s="65">
        <v>0.05</v>
      </c>
      <c r="E16" s="8" t="s">
        <v>85</v>
      </c>
      <c r="F16" s="65">
        <v>0.05</v>
      </c>
      <c r="G16" s="66" t="s">
        <v>85</v>
      </c>
      <c r="H16" s="67" t="s">
        <v>27</v>
      </c>
      <c r="I16" s="291">
        <v>0.61539999999999995</v>
      </c>
      <c r="J16" s="282"/>
      <c r="K16" s="282"/>
      <c r="L16" s="282"/>
      <c r="M16" s="282"/>
      <c r="N16" s="282"/>
      <c r="O16" s="222">
        <f>I16*D16</f>
        <v>3.0769999999999999E-2</v>
      </c>
      <c r="P16" s="216" t="s">
        <v>152</v>
      </c>
      <c r="Q16" s="8" t="s">
        <v>43</v>
      </c>
    </row>
    <row r="17" spans="1:17" ht="47.4" customHeight="1" thickTop="1" thickBot="1" x14ac:dyDescent="0.35">
      <c r="A17" s="335"/>
      <c r="B17" s="332"/>
      <c r="C17" s="68" t="s">
        <v>87</v>
      </c>
      <c r="D17" s="62">
        <v>0.05</v>
      </c>
      <c r="E17" s="10" t="s">
        <v>88</v>
      </c>
      <c r="F17" s="62">
        <v>0.05</v>
      </c>
      <c r="G17" s="69" t="s">
        <v>89</v>
      </c>
      <c r="H17" s="70" t="s">
        <v>27</v>
      </c>
      <c r="I17" s="143">
        <v>1</v>
      </c>
      <c r="J17" s="144">
        <f>I17*$F17</f>
        <v>0.05</v>
      </c>
      <c r="K17" s="145">
        <v>1</v>
      </c>
      <c r="L17" s="144">
        <f>K17*$F17</f>
        <v>0.05</v>
      </c>
      <c r="M17" s="145">
        <v>1</v>
      </c>
      <c r="N17" s="147">
        <f>M17*$F17</f>
        <v>0.05</v>
      </c>
      <c r="O17" s="222">
        <f>AVERAGE(J17,L17,N17)</f>
        <v>5.000000000000001E-2</v>
      </c>
      <c r="P17" s="216" t="s">
        <v>90</v>
      </c>
      <c r="Q17" s="10" t="s">
        <v>22</v>
      </c>
    </row>
    <row r="18" spans="1:17" ht="173.4" customHeight="1" thickTop="1" thickBot="1" x14ac:dyDescent="0.35">
      <c r="A18" s="335"/>
      <c r="B18" s="332"/>
      <c r="C18" s="64" t="s">
        <v>30</v>
      </c>
      <c r="D18" s="65">
        <v>0.03</v>
      </c>
      <c r="E18" s="8" t="s">
        <v>31</v>
      </c>
      <c r="F18" s="65">
        <v>0.03</v>
      </c>
      <c r="G18" s="66" t="s">
        <v>32</v>
      </c>
      <c r="H18" s="67" t="s">
        <v>27</v>
      </c>
      <c r="I18" s="178">
        <v>0.875</v>
      </c>
      <c r="J18" s="179">
        <f>I18*$F18</f>
        <v>2.6249999999999999E-2</v>
      </c>
      <c r="K18" s="178">
        <v>0.8</v>
      </c>
      <c r="L18" s="179">
        <f>K18*$F18</f>
        <v>2.4E-2</v>
      </c>
      <c r="M18" s="178">
        <v>0.75</v>
      </c>
      <c r="N18" s="217">
        <f>M18*$F18</f>
        <v>2.2499999999999999E-2</v>
      </c>
      <c r="O18" s="222">
        <f>AVERAGE(J18,L18,N18)</f>
        <v>2.4250000000000004E-2</v>
      </c>
      <c r="P18" s="219" t="s">
        <v>153</v>
      </c>
      <c r="Q18" s="8" t="s">
        <v>22</v>
      </c>
    </row>
    <row r="19" spans="1:17" ht="173.4" customHeight="1" thickTop="1" thickBot="1" x14ac:dyDescent="0.35">
      <c r="A19" s="276"/>
      <c r="B19" s="276"/>
      <c r="C19" s="71" t="s">
        <v>34</v>
      </c>
      <c r="D19" s="58">
        <v>0.02</v>
      </c>
      <c r="E19" s="16" t="s">
        <v>35</v>
      </c>
      <c r="F19" s="58">
        <v>0.02</v>
      </c>
      <c r="G19" s="72" t="s">
        <v>36</v>
      </c>
      <c r="H19" s="73" t="s">
        <v>27</v>
      </c>
      <c r="I19" s="180">
        <v>0.1666</v>
      </c>
      <c r="J19" s="179">
        <f>I19*$F19</f>
        <v>3.3319999999999999E-3</v>
      </c>
      <c r="K19" s="180">
        <v>0.1666</v>
      </c>
      <c r="L19" s="179">
        <f>K19*$F19</f>
        <v>3.3319999999999999E-3</v>
      </c>
      <c r="M19" s="181">
        <v>0.33329999999999999</v>
      </c>
      <c r="N19" s="217">
        <f>M19*$F19</f>
        <v>6.6660000000000001E-3</v>
      </c>
      <c r="O19" s="222">
        <f>AVERAGE(J19,L19,N19)</f>
        <v>4.443333333333333E-3</v>
      </c>
      <c r="P19" s="219" t="s">
        <v>154</v>
      </c>
      <c r="Q19" s="16" t="s">
        <v>22</v>
      </c>
    </row>
    <row r="20" spans="1:17" ht="409.6" customHeight="1" thickTop="1" thickBot="1" x14ac:dyDescent="0.35">
      <c r="A20" s="344" t="s">
        <v>38</v>
      </c>
      <c r="B20" s="342">
        <v>0.25</v>
      </c>
      <c r="C20" s="295" t="s">
        <v>39</v>
      </c>
      <c r="D20" s="350">
        <f>B20</f>
        <v>0.25</v>
      </c>
      <c r="E20" s="8" t="s">
        <v>40</v>
      </c>
      <c r="F20" s="75">
        <f>D20*0.8</f>
        <v>0.2</v>
      </c>
      <c r="G20" s="66" t="s">
        <v>41</v>
      </c>
      <c r="H20" s="76" t="s">
        <v>27</v>
      </c>
      <c r="I20" s="407">
        <f>((4)/(7))</f>
        <v>0.5714285714285714</v>
      </c>
      <c r="J20" s="276"/>
      <c r="K20" s="276"/>
      <c r="L20" s="276"/>
      <c r="M20" s="276"/>
      <c r="N20" s="276"/>
      <c r="O20" s="222">
        <f>I20*$F20</f>
        <v>0.11428571428571428</v>
      </c>
      <c r="P20" s="216" t="s">
        <v>155</v>
      </c>
      <c r="Q20" s="8" t="s">
        <v>43</v>
      </c>
    </row>
    <row r="21" spans="1:17" ht="180.6" customHeight="1" thickTop="1" thickBot="1" x14ac:dyDescent="0.35">
      <c r="A21" s="276"/>
      <c r="B21" s="276"/>
      <c r="C21" s="276"/>
      <c r="D21" s="276"/>
      <c r="E21" s="10" t="s">
        <v>44</v>
      </c>
      <c r="F21" s="78">
        <f>D20*0.2</f>
        <v>0.05</v>
      </c>
      <c r="G21" s="69" t="s">
        <v>45</v>
      </c>
      <c r="H21" s="77" t="s">
        <v>27</v>
      </c>
      <c r="I21" s="416">
        <f>((1)/(3))</f>
        <v>0.33333333333333331</v>
      </c>
      <c r="J21" s="282"/>
      <c r="K21" s="282"/>
      <c r="L21" s="282"/>
      <c r="M21" s="282"/>
      <c r="N21" s="282"/>
      <c r="O21" s="222">
        <f>I21*$F21</f>
        <v>1.6666666666666666E-2</v>
      </c>
      <c r="P21" s="220" t="s">
        <v>156</v>
      </c>
      <c r="Q21" s="10" t="s">
        <v>43</v>
      </c>
    </row>
    <row r="22" spans="1:17" ht="74.400000000000006" customHeight="1" thickTop="1" x14ac:dyDescent="0.3">
      <c r="A22" s="344" t="s">
        <v>47</v>
      </c>
      <c r="B22" s="342">
        <v>0.3</v>
      </c>
      <c r="C22" s="295" t="s">
        <v>48</v>
      </c>
      <c r="D22" s="350">
        <f>$B$22/2</f>
        <v>0.15</v>
      </c>
      <c r="E22" s="324" t="s">
        <v>49</v>
      </c>
      <c r="F22" s="350">
        <f>$B$22/2</f>
        <v>0.15</v>
      </c>
      <c r="G22" s="79" t="s">
        <v>50</v>
      </c>
      <c r="H22" s="74">
        <v>1</v>
      </c>
      <c r="I22" s="408">
        <v>1</v>
      </c>
      <c r="J22" s="298"/>
      <c r="K22" s="298"/>
      <c r="L22" s="298"/>
      <c r="M22" s="298"/>
      <c r="N22" s="409"/>
      <c r="O22" s="411">
        <f>I22*$F22</f>
        <v>0.15</v>
      </c>
      <c r="P22" s="417" t="s">
        <v>94</v>
      </c>
      <c r="Q22" s="324" t="s">
        <v>43</v>
      </c>
    </row>
    <row r="23" spans="1:17" ht="74.400000000000006" customHeight="1" thickBot="1" x14ac:dyDescent="0.35">
      <c r="A23" s="335"/>
      <c r="B23" s="332"/>
      <c r="C23" s="276"/>
      <c r="D23" s="276"/>
      <c r="E23" s="276"/>
      <c r="F23" s="276"/>
      <c r="G23" s="80" t="s">
        <v>52</v>
      </c>
      <c r="H23" s="77">
        <v>0</v>
      </c>
      <c r="I23" s="276"/>
      <c r="J23" s="276"/>
      <c r="K23" s="276"/>
      <c r="L23" s="276"/>
      <c r="M23" s="276"/>
      <c r="N23" s="410"/>
      <c r="O23" s="412"/>
      <c r="P23" s="276"/>
      <c r="Q23" s="276"/>
    </row>
    <row r="24" spans="1:17" ht="82.2" customHeight="1" thickTop="1" thickBot="1" x14ac:dyDescent="0.35">
      <c r="A24" s="276"/>
      <c r="B24" s="276"/>
      <c r="C24" s="35" t="s">
        <v>53</v>
      </c>
      <c r="D24" s="76">
        <v>0.15</v>
      </c>
      <c r="E24" s="7" t="s">
        <v>54</v>
      </c>
      <c r="F24" s="76">
        <v>0.15</v>
      </c>
      <c r="G24" s="66" t="s">
        <v>55</v>
      </c>
      <c r="H24" s="76">
        <v>1</v>
      </c>
      <c r="I24" s="416">
        <v>0.42859999999999998</v>
      </c>
      <c r="J24" s="282"/>
      <c r="K24" s="282"/>
      <c r="L24" s="282"/>
      <c r="M24" s="282"/>
      <c r="N24" s="282"/>
      <c r="O24" s="223">
        <f>I24*$F24</f>
        <v>6.429E-2</v>
      </c>
      <c r="P24" s="220" t="s">
        <v>157</v>
      </c>
      <c r="Q24" s="7" t="s">
        <v>43</v>
      </c>
    </row>
    <row r="25" spans="1:17" ht="50.4" customHeight="1" thickTop="1" x14ac:dyDescent="0.3">
      <c r="L25" s="5" t="s">
        <v>57</v>
      </c>
      <c r="M25" s="5"/>
      <c r="N25" s="5"/>
      <c r="O25" s="249">
        <f>SUM(O2:O24)</f>
        <v>0.73753626984126996</v>
      </c>
    </row>
    <row r="26" spans="1:17" ht="26.7" customHeight="1" x14ac:dyDescent="0.3"/>
  </sheetData>
  <mergeCells count="61">
    <mergeCell ref="A22:A24"/>
    <mergeCell ref="C10:C13"/>
    <mergeCell ref="D2:D5"/>
    <mergeCell ref="I21:N21"/>
    <mergeCell ref="C22:C23"/>
    <mergeCell ref="Q6:Q8"/>
    <mergeCell ref="C20:C21"/>
    <mergeCell ref="K2:K4"/>
    <mergeCell ref="D6:D9"/>
    <mergeCell ref="L10:L12"/>
    <mergeCell ref="O2:O4"/>
    <mergeCell ref="N10:N12"/>
    <mergeCell ref="N6:N8"/>
    <mergeCell ref="Q2:Q4"/>
    <mergeCell ref="Q22:Q23"/>
    <mergeCell ref="J2:J4"/>
    <mergeCell ref="I10:I12"/>
    <mergeCell ref="L2:L4"/>
    <mergeCell ref="O10:O12"/>
    <mergeCell ref="O22:O23"/>
    <mergeCell ref="I2:I4"/>
    <mergeCell ref="P10:P12"/>
    <mergeCell ref="P2:P4"/>
    <mergeCell ref="Q10:Q12"/>
    <mergeCell ref="I6:I8"/>
    <mergeCell ref="K10:K12"/>
    <mergeCell ref="K6:K8"/>
    <mergeCell ref="L6:L8"/>
    <mergeCell ref="I16:N16"/>
    <mergeCell ref="P22:P23"/>
    <mergeCell ref="B22:B24"/>
    <mergeCell ref="F6:F8"/>
    <mergeCell ref="B2:B13"/>
    <mergeCell ref="I22:N23"/>
    <mergeCell ref="C2:C5"/>
    <mergeCell ref="J10:J12"/>
    <mergeCell ref="M2:M4"/>
    <mergeCell ref="F2:F4"/>
    <mergeCell ref="E22:E23"/>
    <mergeCell ref="N2:N4"/>
    <mergeCell ref="E2:E4"/>
    <mergeCell ref="D22:D23"/>
    <mergeCell ref="F10:F12"/>
    <mergeCell ref="F22:F23"/>
    <mergeCell ref="I24:N24"/>
    <mergeCell ref="A20:A21"/>
    <mergeCell ref="J6:J8"/>
    <mergeCell ref="B20:B21"/>
    <mergeCell ref="P6:P8"/>
    <mergeCell ref="A14:A19"/>
    <mergeCell ref="D20:D21"/>
    <mergeCell ref="E6:E8"/>
    <mergeCell ref="M10:M12"/>
    <mergeCell ref="M6:M8"/>
    <mergeCell ref="E10:E12"/>
    <mergeCell ref="C6:C9"/>
    <mergeCell ref="D10:D13"/>
    <mergeCell ref="B14:B19"/>
    <mergeCell ref="O6:O8"/>
    <mergeCell ref="I20:N20"/>
    <mergeCell ref="A2:A13"/>
  </mergeCells>
  <printOptions horizontalCentered="1"/>
  <pageMargins left="0.23622047244094491" right="0.23622047244094491" top="0.74803149606299213" bottom="0.74803149606299213" header="0.31496062992125978" footer="0.31496062992125978"/>
  <pageSetup scale="43"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tabColor theme="7" tint="0.39997558519241921"/>
  </sheetPr>
  <dimension ref="A1:Q26"/>
  <sheetViews>
    <sheetView topLeftCell="A20" zoomScale="55" zoomScaleNormal="85" zoomScaleSheetLayoutView="80" workbookViewId="0">
      <selection activeCell="I24" sqref="I24:N24"/>
    </sheetView>
  </sheetViews>
  <sheetFormatPr baseColWidth="10" defaultColWidth="11.44140625" defaultRowHeight="15.6" x14ac:dyDescent="0.3"/>
  <cols>
    <col min="1" max="1" width="20.6640625" style="3" customWidth="1"/>
    <col min="2" max="2" width="9.109375" customWidth="1"/>
    <col min="3" max="3" width="19.6640625" style="2" customWidth="1"/>
    <col min="4" max="4" width="12.6640625" customWidth="1"/>
    <col min="5" max="5" width="40.6640625" style="1" customWidth="1"/>
    <col min="6" max="6" width="8" customWidth="1"/>
    <col min="7" max="7" width="51.109375" style="136" customWidth="1"/>
    <col min="8" max="8" width="10.109375" style="136" customWidth="1"/>
    <col min="9" max="15" width="15.44140625" customWidth="1"/>
    <col min="16" max="16" width="104.6640625" style="226" customWidth="1"/>
    <col min="17" max="20" width="42.5546875" customWidth="1"/>
    <col min="21" max="29" width="16.554687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83" t="s">
        <v>16</v>
      </c>
    </row>
    <row r="2" spans="1:17" ht="18.600000000000001" customHeight="1" thickTop="1" thickBot="1" x14ac:dyDescent="0.35">
      <c r="A2" s="388" t="s">
        <v>17</v>
      </c>
      <c r="B2" s="284">
        <v>0.2</v>
      </c>
      <c r="C2" s="422" t="s">
        <v>77</v>
      </c>
      <c r="D2" s="429">
        <f>$B$2/3</f>
        <v>6.6666666666666666E-2</v>
      </c>
      <c r="E2" s="425" t="s">
        <v>19</v>
      </c>
      <c r="F2" s="424">
        <f>$B$2/6</f>
        <v>3.3333333333333333E-2</v>
      </c>
      <c r="G2" s="49" t="s">
        <v>20</v>
      </c>
      <c r="H2" s="192">
        <v>1</v>
      </c>
      <c r="I2" s="292">
        <v>1</v>
      </c>
      <c r="J2" s="288">
        <f>I2*$F2</f>
        <v>3.3333333333333333E-2</v>
      </c>
      <c r="K2" s="301">
        <v>1</v>
      </c>
      <c r="L2" s="288">
        <f>K2*$F2</f>
        <v>3.3333333333333333E-2</v>
      </c>
      <c r="M2" s="351">
        <v>0.93330000000000002</v>
      </c>
      <c r="N2" s="288">
        <f>M2*$F2</f>
        <v>3.1109999999999999E-2</v>
      </c>
      <c r="O2" s="303">
        <f>AVERAGE(J2,L2,N2)</f>
        <v>3.2592222222222224E-2</v>
      </c>
      <c r="P2" s="427" t="s">
        <v>158</v>
      </c>
      <c r="Q2" s="324" t="s">
        <v>22</v>
      </c>
    </row>
    <row r="3" spans="1:17" ht="18.600000000000001" customHeight="1" thickTop="1" thickBot="1" x14ac:dyDescent="0.35">
      <c r="A3" s="345"/>
      <c r="B3" s="280"/>
      <c r="C3" s="307"/>
      <c r="D3" s="280"/>
      <c r="E3" s="346"/>
      <c r="F3" s="280"/>
      <c r="G3" s="38" t="s">
        <v>23</v>
      </c>
      <c r="H3" s="192">
        <v>0.8</v>
      </c>
      <c r="I3" s="293"/>
      <c r="J3" s="289"/>
      <c r="K3" s="289"/>
      <c r="L3" s="289"/>
      <c r="M3" s="289"/>
      <c r="N3" s="289"/>
      <c r="O3" s="304"/>
      <c r="P3" s="322"/>
      <c r="Q3" s="280"/>
    </row>
    <row r="4" spans="1:17" ht="135.6" customHeight="1" thickTop="1" thickBot="1" x14ac:dyDescent="0.35">
      <c r="A4" s="345"/>
      <c r="B4" s="280"/>
      <c r="C4" s="307"/>
      <c r="D4" s="280"/>
      <c r="E4" s="276"/>
      <c r="F4" s="276"/>
      <c r="G4" s="38" t="s">
        <v>24</v>
      </c>
      <c r="H4" s="21">
        <v>0</v>
      </c>
      <c r="I4" s="294"/>
      <c r="J4" s="290"/>
      <c r="K4" s="290"/>
      <c r="L4" s="290"/>
      <c r="M4" s="290"/>
      <c r="N4" s="290"/>
      <c r="O4" s="305"/>
      <c r="P4" s="323"/>
      <c r="Q4" s="276"/>
    </row>
    <row r="5" spans="1:17" ht="167.4" customHeight="1" thickTop="1" thickBot="1" x14ac:dyDescent="0.35">
      <c r="A5" s="345"/>
      <c r="B5" s="280"/>
      <c r="C5" s="276"/>
      <c r="D5" s="276"/>
      <c r="E5" s="10" t="s">
        <v>25</v>
      </c>
      <c r="F5" s="22">
        <f>$B$2/6</f>
        <v>3.3333333333333333E-2</v>
      </c>
      <c r="G5" s="38" t="s">
        <v>26</v>
      </c>
      <c r="H5" s="21" t="s">
        <v>27</v>
      </c>
      <c r="I5" s="138">
        <v>1</v>
      </c>
      <c r="J5" s="139">
        <f>I5*$F5</f>
        <v>3.3333333333333333E-2</v>
      </c>
      <c r="K5" s="140">
        <v>1</v>
      </c>
      <c r="L5" s="139">
        <f>K5*$F5</f>
        <v>3.3333333333333333E-2</v>
      </c>
      <c r="M5" s="229">
        <v>1</v>
      </c>
      <c r="N5" s="139">
        <f>M5*$F5</f>
        <v>3.3333333333333333E-2</v>
      </c>
      <c r="O5" s="142">
        <f>AVERAGE(J5,L5,N5)</f>
        <v>3.3333333333333333E-2</v>
      </c>
      <c r="P5" s="224" t="s">
        <v>159</v>
      </c>
      <c r="Q5" s="10" t="s">
        <v>22</v>
      </c>
    </row>
    <row r="6" spans="1:17" ht="18.600000000000001" customHeight="1" thickTop="1" thickBot="1" x14ac:dyDescent="0.35">
      <c r="A6" s="345"/>
      <c r="B6" s="280"/>
      <c r="C6" s="306" t="s">
        <v>115</v>
      </c>
      <c r="D6" s="285">
        <f>$B$2/3</f>
        <v>6.6666666666666666E-2</v>
      </c>
      <c r="E6" s="324" t="s">
        <v>19</v>
      </c>
      <c r="F6" s="312">
        <f>$B$2/6</f>
        <v>3.3333333333333333E-2</v>
      </c>
      <c r="G6" s="38" t="s">
        <v>20</v>
      </c>
      <c r="H6" s="191">
        <v>1</v>
      </c>
      <c r="I6" s="292">
        <v>1</v>
      </c>
      <c r="J6" s="288">
        <f>I6*$F6</f>
        <v>3.3333333333333333E-2</v>
      </c>
      <c r="K6" s="301">
        <v>1</v>
      </c>
      <c r="L6" s="288">
        <f>K6*$F6</f>
        <v>3.3333333333333333E-2</v>
      </c>
      <c r="M6" s="351">
        <v>1</v>
      </c>
      <c r="N6" s="288">
        <f>M6*$F6</f>
        <v>3.3333333333333333E-2</v>
      </c>
      <c r="O6" s="303">
        <f>AVERAGE(J6,L6,N6)</f>
        <v>3.3333333333333333E-2</v>
      </c>
      <c r="P6" s="419" t="s">
        <v>132</v>
      </c>
      <c r="Q6" s="324" t="s">
        <v>22</v>
      </c>
    </row>
    <row r="7" spans="1:17" ht="18.600000000000001" customHeight="1" thickTop="1" thickBot="1" x14ac:dyDescent="0.35">
      <c r="A7" s="345"/>
      <c r="B7" s="280"/>
      <c r="C7" s="307"/>
      <c r="D7" s="280"/>
      <c r="E7" s="346"/>
      <c r="F7" s="280"/>
      <c r="G7" s="38" t="s">
        <v>23</v>
      </c>
      <c r="H7" s="192">
        <v>0.8</v>
      </c>
      <c r="I7" s="293"/>
      <c r="J7" s="289"/>
      <c r="K7" s="289"/>
      <c r="L7" s="289"/>
      <c r="M7" s="289"/>
      <c r="N7" s="289"/>
      <c r="O7" s="304"/>
      <c r="P7" s="385"/>
      <c r="Q7" s="280"/>
    </row>
    <row r="8" spans="1:17" ht="105" customHeight="1" thickTop="1" thickBot="1" x14ac:dyDescent="0.35">
      <c r="A8" s="345"/>
      <c r="B8" s="280"/>
      <c r="C8" s="307"/>
      <c r="D8" s="280"/>
      <c r="E8" s="276"/>
      <c r="F8" s="276"/>
      <c r="G8" s="38" t="s">
        <v>24</v>
      </c>
      <c r="H8" s="21">
        <v>0</v>
      </c>
      <c r="I8" s="294"/>
      <c r="J8" s="290"/>
      <c r="K8" s="290"/>
      <c r="L8" s="290"/>
      <c r="M8" s="290"/>
      <c r="N8" s="290"/>
      <c r="O8" s="305"/>
      <c r="P8" s="386"/>
      <c r="Q8" s="276"/>
    </row>
    <row r="9" spans="1:17" ht="134.25" customHeight="1" thickTop="1" thickBot="1" x14ac:dyDescent="0.35">
      <c r="A9" s="345"/>
      <c r="B9" s="280"/>
      <c r="C9" s="276"/>
      <c r="D9" s="276"/>
      <c r="E9" s="10" t="s">
        <v>25</v>
      </c>
      <c r="F9" s="22">
        <f>$B$2/6</f>
        <v>3.3333333333333333E-2</v>
      </c>
      <c r="G9" s="38" t="s">
        <v>26</v>
      </c>
      <c r="H9" s="21" t="s">
        <v>27</v>
      </c>
      <c r="I9" s="138">
        <v>1</v>
      </c>
      <c r="J9" s="139">
        <f>I9*$F9</f>
        <v>3.3333333333333333E-2</v>
      </c>
      <c r="K9" s="140">
        <v>1</v>
      </c>
      <c r="L9" s="139">
        <f>K9*$F9</f>
        <v>3.3333333333333333E-2</v>
      </c>
      <c r="M9" s="229">
        <v>1</v>
      </c>
      <c r="N9" s="139">
        <f>M9*$F9</f>
        <v>3.3333333333333333E-2</v>
      </c>
      <c r="O9" s="142">
        <f>AVERAGE(J9,L9,N9)</f>
        <v>3.3333333333333333E-2</v>
      </c>
      <c r="P9" s="195" t="s">
        <v>133</v>
      </c>
      <c r="Q9" s="10" t="s">
        <v>22</v>
      </c>
    </row>
    <row r="10" spans="1:17" ht="18.600000000000001" customHeight="1" thickTop="1" thickBot="1" x14ac:dyDescent="0.35">
      <c r="A10" s="345"/>
      <c r="B10" s="280"/>
      <c r="C10" s="306" t="s">
        <v>18</v>
      </c>
      <c r="D10" s="285">
        <f>$B$2/3</f>
        <v>6.6666666666666666E-2</v>
      </c>
      <c r="E10" s="324" t="s">
        <v>19</v>
      </c>
      <c r="F10" s="312">
        <f>$B$2/6</f>
        <v>3.3333333333333333E-2</v>
      </c>
      <c r="G10" s="38" t="s">
        <v>20</v>
      </c>
      <c r="H10" s="191">
        <v>1</v>
      </c>
      <c r="I10" s="420">
        <v>0.7</v>
      </c>
      <c r="J10" s="423">
        <f>I10*$F10</f>
        <v>2.3333333333333331E-2</v>
      </c>
      <c r="K10" s="420">
        <v>0.7</v>
      </c>
      <c r="L10" s="423">
        <f>K10*$F10</f>
        <v>2.3333333333333331E-2</v>
      </c>
      <c r="M10" s="420">
        <v>0.7</v>
      </c>
      <c r="N10" s="288">
        <f>M10*$F10</f>
        <v>2.3333333333333331E-2</v>
      </c>
      <c r="O10" s="303">
        <f>AVERAGE(J10,L10,N10)</f>
        <v>2.3333333333333331E-2</v>
      </c>
      <c r="P10" s="426" t="s">
        <v>21</v>
      </c>
      <c r="Q10" s="324" t="s">
        <v>22</v>
      </c>
    </row>
    <row r="11" spans="1:17" ht="18.600000000000001" customHeight="1" thickTop="1" thickBot="1" x14ac:dyDescent="0.35">
      <c r="A11" s="345"/>
      <c r="B11" s="280"/>
      <c r="C11" s="307"/>
      <c r="D11" s="280"/>
      <c r="E11" s="346"/>
      <c r="F11" s="280"/>
      <c r="G11" s="38" t="s">
        <v>23</v>
      </c>
      <c r="H11" s="192">
        <v>0.8</v>
      </c>
      <c r="I11" s="293"/>
      <c r="J11" s="289"/>
      <c r="K11" s="293"/>
      <c r="L11" s="289"/>
      <c r="M11" s="293"/>
      <c r="N11" s="289"/>
      <c r="O11" s="304"/>
      <c r="P11" s="289"/>
      <c r="Q11" s="280"/>
    </row>
    <row r="12" spans="1:17" ht="72.599999999999994" customHeight="1" thickTop="1" thickBot="1" x14ac:dyDescent="0.35">
      <c r="A12" s="345"/>
      <c r="B12" s="280"/>
      <c r="C12" s="307"/>
      <c r="D12" s="280"/>
      <c r="E12" s="276"/>
      <c r="F12" s="276"/>
      <c r="G12" s="38" t="s">
        <v>24</v>
      </c>
      <c r="H12" s="21">
        <v>0.5</v>
      </c>
      <c r="I12" s="294"/>
      <c r="J12" s="290"/>
      <c r="K12" s="294"/>
      <c r="L12" s="290"/>
      <c r="M12" s="294"/>
      <c r="N12" s="290"/>
      <c r="O12" s="305"/>
      <c r="P12" s="290"/>
      <c r="Q12" s="276"/>
    </row>
    <row r="13" spans="1:17" ht="105.75" customHeight="1" thickTop="1" thickBot="1" x14ac:dyDescent="0.35">
      <c r="A13" s="276"/>
      <c r="B13" s="276"/>
      <c r="C13" s="276"/>
      <c r="D13" s="276"/>
      <c r="E13" s="10" t="s">
        <v>25</v>
      </c>
      <c r="F13" s="22">
        <f>$B$2/6</f>
        <v>3.3333333333333333E-2</v>
      </c>
      <c r="G13" s="38" t="s">
        <v>26</v>
      </c>
      <c r="H13" s="21" t="s">
        <v>27</v>
      </c>
      <c r="I13" s="172">
        <v>0.6</v>
      </c>
      <c r="J13" s="182">
        <f>I13*$F13</f>
        <v>0.02</v>
      </c>
      <c r="K13" s="183">
        <v>0.6</v>
      </c>
      <c r="L13" s="182">
        <f>K13*$F13</f>
        <v>0.02</v>
      </c>
      <c r="M13" s="230">
        <v>0.6</v>
      </c>
      <c r="N13" s="139">
        <f>M13*$F13</f>
        <v>0.02</v>
      </c>
      <c r="O13" s="142">
        <f>AVERAGE(J13,L13,N13)</f>
        <v>0.02</v>
      </c>
      <c r="P13" s="198" t="s">
        <v>98</v>
      </c>
      <c r="Q13" s="10" t="s">
        <v>22</v>
      </c>
    </row>
    <row r="14" spans="1:17" ht="83.25" customHeight="1" thickTop="1" thickBot="1" x14ac:dyDescent="0.35">
      <c r="A14" s="286" t="s">
        <v>29</v>
      </c>
      <c r="B14" s="302">
        <v>0.25</v>
      </c>
      <c r="C14" s="28" t="s">
        <v>77</v>
      </c>
      <c r="D14" s="18">
        <v>0.05</v>
      </c>
      <c r="E14" s="8" t="s">
        <v>81</v>
      </c>
      <c r="F14" s="18">
        <v>0.05</v>
      </c>
      <c r="G14" s="30" t="s">
        <v>82</v>
      </c>
      <c r="H14" s="17" t="s">
        <v>27</v>
      </c>
      <c r="I14" s="143"/>
      <c r="J14" s="144"/>
      <c r="K14" s="145">
        <v>1</v>
      </c>
      <c r="L14" s="144">
        <f>K14*$F14</f>
        <v>0.05</v>
      </c>
      <c r="M14" s="231">
        <v>0.96650000000000003</v>
      </c>
      <c r="N14" s="144">
        <f>M14*$F14</f>
        <v>4.8325000000000007E-2</v>
      </c>
      <c r="O14" s="147">
        <f>AVERAGE(J14,L14,N14)</f>
        <v>4.9162500000000005E-2</v>
      </c>
      <c r="P14" s="227" t="s">
        <v>160</v>
      </c>
      <c r="Q14" s="8" t="s">
        <v>22</v>
      </c>
    </row>
    <row r="15" spans="1:17" ht="139.5" customHeight="1" thickTop="1" thickBot="1" x14ac:dyDescent="0.35">
      <c r="A15" s="345"/>
      <c r="B15" s="280"/>
      <c r="C15" s="28" t="s">
        <v>115</v>
      </c>
      <c r="D15" s="18">
        <v>0.05</v>
      </c>
      <c r="E15" s="8" t="s">
        <v>119</v>
      </c>
      <c r="F15" s="18">
        <v>0.05</v>
      </c>
      <c r="G15" s="31" t="s">
        <v>120</v>
      </c>
      <c r="H15" s="17" t="s">
        <v>27</v>
      </c>
      <c r="I15" s="143">
        <v>0.68300000000000005</v>
      </c>
      <c r="J15" s="144">
        <f>I15*$F15</f>
        <v>3.4150000000000007E-2</v>
      </c>
      <c r="K15" s="145">
        <v>0.68300000000000005</v>
      </c>
      <c r="L15" s="144">
        <f>K15*$F15</f>
        <v>3.4150000000000007E-2</v>
      </c>
      <c r="M15" s="231">
        <v>0.81</v>
      </c>
      <c r="N15" s="144">
        <f>M15*$F15</f>
        <v>4.0500000000000008E-2</v>
      </c>
      <c r="O15" s="147">
        <f>AVERAGE(J15,L15,N15)</f>
        <v>3.6266666666666676E-2</v>
      </c>
      <c r="P15" s="227" t="s">
        <v>134</v>
      </c>
      <c r="Q15" s="8" t="s">
        <v>22</v>
      </c>
    </row>
    <row r="16" spans="1:17" ht="274.2" customHeight="1" thickTop="1" thickBot="1" x14ac:dyDescent="0.35">
      <c r="A16" s="345"/>
      <c r="B16" s="280"/>
      <c r="C16" s="28" t="s">
        <v>84</v>
      </c>
      <c r="D16" s="18">
        <v>0.05</v>
      </c>
      <c r="E16" s="8" t="s">
        <v>85</v>
      </c>
      <c r="F16" s="18">
        <v>0.05</v>
      </c>
      <c r="G16" s="30" t="s">
        <v>85</v>
      </c>
      <c r="H16" s="17" t="s">
        <v>27</v>
      </c>
      <c r="I16" s="281">
        <v>0.6</v>
      </c>
      <c r="J16" s="282"/>
      <c r="K16" s="282"/>
      <c r="L16" s="282"/>
      <c r="M16" s="282"/>
      <c r="N16" s="283"/>
      <c r="O16" s="147">
        <f>I16*D16</f>
        <v>0.03</v>
      </c>
      <c r="P16" s="228" t="s">
        <v>161</v>
      </c>
      <c r="Q16" s="8" t="s">
        <v>43</v>
      </c>
    </row>
    <row r="17" spans="1:17" ht="62.4" customHeight="1" thickTop="1" thickBot="1" x14ac:dyDescent="0.35">
      <c r="A17" s="345"/>
      <c r="B17" s="280"/>
      <c r="C17" s="27" t="s">
        <v>87</v>
      </c>
      <c r="D17" s="20">
        <v>0.05</v>
      </c>
      <c r="E17" s="10" t="s">
        <v>88</v>
      </c>
      <c r="F17" s="20">
        <v>0.05</v>
      </c>
      <c r="G17" s="32" t="s">
        <v>89</v>
      </c>
      <c r="H17" s="19" t="s">
        <v>27</v>
      </c>
      <c r="I17" s="143">
        <v>1</v>
      </c>
      <c r="J17" s="144">
        <f>I17*$F17</f>
        <v>0.05</v>
      </c>
      <c r="K17" s="145">
        <v>1</v>
      </c>
      <c r="L17" s="144">
        <f>K17*$F17</f>
        <v>0.05</v>
      </c>
      <c r="M17" s="145">
        <v>1</v>
      </c>
      <c r="N17" s="144">
        <f>M17*$F17</f>
        <v>0.05</v>
      </c>
      <c r="O17" s="147">
        <f>AVERAGE(J17,L17,N17)</f>
        <v>5.000000000000001E-2</v>
      </c>
      <c r="P17" s="228" t="s">
        <v>90</v>
      </c>
      <c r="Q17" s="10" t="s">
        <v>22</v>
      </c>
    </row>
    <row r="18" spans="1:17" ht="120" customHeight="1" thickTop="1" thickBot="1" x14ac:dyDescent="0.35">
      <c r="A18" s="345"/>
      <c r="B18" s="280"/>
      <c r="C18" s="28" t="s">
        <v>30</v>
      </c>
      <c r="D18" s="18">
        <v>0.03</v>
      </c>
      <c r="E18" s="8" t="s">
        <v>31</v>
      </c>
      <c r="F18" s="18">
        <v>0.03</v>
      </c>
      <c r="G18" s="30" t="s">
        <v>32</v>
      </c>
      <c r="H18" s="17" t="s">
        <v>27</v>
      </c>
      <c r="I18" s="172">
        <v>0.66669999999999996</v>
      </c>
      <c r="J18" s="144">
        <f>I18*$F18</f>
        <v>2.0000999999999998E-2</v>
      </c>
      <c r="K18" s="145">
        <v>0.83330000000000004</v>
      </c>
      <c r="L18" s="144">
        <f>K18*$F18</f>
        <v>2.4999E-2</v>
      </c>
      <c r="M18" s="145">
        <v>0.83330000000000004</v>
      </c>
      <c r="N18" s="144">
        <f>M18*$F18</f>
        <v>2.4999E-2</v>
      </c>
      <c r="O18" s="147">
        <f>AVERAGE(J18,L18,N18)</f>
        <v>2.3333000000000003E-2</v>
      </c>
      <c r="P18" s="194" t="s">
        <v>162</v>
      </c>
      <c r="Q18" s="8" t="s">
        <v>22</v>
      </c>
    </row>
    <row r="19" spans="1:17" ht="219" customHeight="1" thickTop="1" thickBot="1" x14ac:dyDescent="0.35">
      <c r="A19" s="276"/>
      <c r="B19" s="276"/>
      <c r="C19" s="29" t="s">
        <v>34</v>
      </c>
      <c r="D19" s="15">
        <v>0.02</v>
      </c>
      <c r="E19" s="16" t="s">
        <v>35</v>
      </c>
      <c r="F19" s="15">
        <v>0.02</v>
      </c>
      <c r="G19" s="33" t="s">
        <v>36</v>
      </c>
      <c r="H19" s="2" t="s">
        <v>27</v>
      </c>
      <c r="I19" s="143">
        <v>0.75</v>
      </c>
      <c r="J19" s="144">
        <f>I19*$F19</f>
        <v>1.4999999999999999E-2</v>
      </c>
      <c r="K19" s="143">
        <v>0.75</v>
      </c>
      <c r="L19" s="144">
        <f>K19*$F19</f>
        <v>1.4999999999999999E-2</v>
      </c>
      <c r="M19" s="143">
        <v>0.75</v>
      </c>
      <c r="N19" s="144">
        <f>M19*$F19</f>
        <v>1.4999999999999999E-2</v>
      </c>
      <c r="O19" s="147">
        <f>AVERAGE(J19,L19,N19)</f>
        <v>1.4999999999999999E-2</v>
      </c>
      <c r="P19" s="194" t="s">
        <v>163</v>
      </c>
      <c r="Q19" s="16" t="s">
        <v>22</v>
      </c>
    </row>
    <row r="20" spans="1:17" ht="291.60000000000002" customHeight="1" thickTop="1" thickBot="1" x14ac:dyDescent="0.35">
      <c r="A20" s="286" t="s">
        <v>38</v>
      </c>
      <c r="B20" s="302">
        <v>0.25</v>
      </c>
      <c r="C20" s="295" t="s">
        <v>39</v>
      </c>
      <c r="D20" s="275">
        <f>B20</f>
        <v>0.25</v>
      </c>
      <c r="E20" s="12" t="s">
        <v>40</v>
      </c>
      <c r="F20" s="14">
        <f>D20*0.8</f>
        <v>0.2</v>
      </c>
      <c r="G20" s="34" t="s">
        <v>41</v>
      </c>
      <c r="H20" s="11" t="s">
        <v>27</v>
      </c>
      <c r="I20" s="291">
        <f>((4)/(11))</f>
        <v>0.36363636363636365</v>
      </c>
      <c r="J20" s="282"/>
      <c r="K20" s="282"/>
      <c r="L20" s="282"/>
      <c r="M20" s="282"/>
      <c r="N20" s="282"/>
      <c r="O20" s="158">
        <f>I20*$F20</f>
        <v>7.2727272727272738E-2</v>
      </c>
      <c r="P20" s="421" t="s">
        <v>164</v>
      </c>
      <c r="Q20" s="8" t="s">
        <v>43</v>
      </c>
    </row>
    <row r="21" spans="1:17" ht="291.60000000000002" customHeight="1" thickTop="1" thickBot="1" x14ac:dyDescent="0.35">
      <c r="A21" s="276"/>
      <c r="B21" s="276"/>
      <c r="C21" s="276"/>
      <c r="D21" s="276"/>
      <c r="E21" s="10" t="s">
        <v>44</v>
      </c>
      <c r="F21" s="13">
        <f>D20*0.2</f>
        <v>0.05</v>
      </c>
      <c r="G21" s="32" t="s">
        <v>45</v>
      </c>
      <c r="H21" s="9" t="s">
        <v>27</v>
      </c>
      <c r="I21" s="291">
        <v>0</v>
      </c>
      <c r="J21" s="282"/>
      <c r="K21" s="282"/>
      <c r="L21" s="282"/>
      <c r="M21" s="282"/>
      <c r="N21" s="282"/>
      <c r="O21" s="158">
        <f>I21*$F21</f>
        <v>0</v>
      </c>
      <c r="P21" s="276"/>
      <c r="Q21" s="10" t="s">
        <v>43</v>
      </c>
    </row>
    <row r="22" spans="1:17" ht="66" customHeight="1" thickTop="1" x14ac:dyDescent="0.3">
      <c r="A22" s="286" t="s">
        <v>47</v>
      </c>
      <c r="B22" s="302">
        <v>0.3</v>
      </c>
      <c r="C22" s="295" t="s">
        <v>48</v>
      </c>
      <c r="D22" s="275">
        <f>$B$22/2</f>
        <v>0.15</v>
      </c>
      <c r="E22" s="324" t="s">
        <v>49</v>
      </c>
      <c r="F22" s="275">
        <f>$B$22/2</f>
        <v>0.15</v>
      </c>
      <c r="G22" s="36" t="s">
        <v>50</v>
      </c>
      <c r="H22" s="11">
        <v>1</v>
      </c>
      <c r="I22" s="281">
        <v>0</v>
      </c>
      <c r="J22" s="298"/>
      <c r="K22" s="298"/>
      <c r="L22" s="298"/>
      <c r="M22" s="298"/>
      <c r="N22" s="299"/>
      <c r="O22" s="310">
        <f>I22*$F22</f>
        <v>0</v>
      </c>
      <c r="P22" s="428" t="s">
        <v>51</v>
      </c>
      <c r="Q22" s="324" t="s">
        <v>43</v>
      </c>
    </row>
    <row r="23" spans="1:17" ht="66" customHeight="1" thickBot="1" x14ac:dyDescent="0.35">
      <c r="A23" s="345"/>
      <c r="B23" s="280"/>
      <c r="C23" s="276"/>
      <c r="D23" s="276"/>
      <c r="E23" s="276"/>
      <c r="F23" s="276"/>
      <c r="G23" s="37" t="s">
        <v>52</v>
      </c>
      <c r="H23" s="9">
        <v>0</v>
      </c>
      <c r="I23" s="276"/>
      <c r="J23" s="276"/>
      <c r="K23" s="276"/>
      <c r="L23" s="276"/>
      <c r="M23" s="276"/>
      <c r="N23" s="300"/>
      <c r="O23" s="311"/>
      <c r="P23" s="276"/>
      <c r="Q23" s="276"/>
    </row>
    <row r="24" spans="1:17" ht="82.2" customHeight="1" thickTop="1" thickBot="1" x14ac:dyDescent="0.35">
      <c r="A24" s="276"/>
      <c r="B24" s="276"/>
      <c r="C24" s="35" t="s">
        <v>53</v>
      </c>
      <c r="D24" s="6">
        <f>$B$22/2</f>
        <v>0.15</v>
      </c>
      <c r="E24" s="7" t="s">
        <v>54</v>
      </c>
      <c r="F24" s="6">
        <f>$B$22/2</f>
        <v>0.15</v>
      </c>
      <c r="G24" s="30" t="s">
        <v>55</v>
      </c>
      <c r="H24" s="6">
        <v>1</v>
      </c>
      <c r="I24" s="281">
        <v>0.27589999999999998</v>
      </c>
      <c r="J24" s="282"/>
      <c r="K24" s="282"/>
      <c r="L24" s="282"/>
      <c r="M24" s="282"/>
      <c r="N24" s="283"/>
      <c r="O24" s="147">
        <f>I24*$F24</f>
        <v>4.1384999999999998E-2</v>
      </c>
      <c r="P24" s="210" t="s">
        <v>165</v>
      </c>
      <c r="Q24" s="7" t="s">
        <v>43</v>
      </c>
    </row>
    <row r="25" spans="1:17" ht="26.7" customHeight="1" thickTop="1" x14ac:dyDescent="0.3">
      <c r="L25" s="5" t="s">
        <v>57</v>
      </c>
      <c r="M25" s="5"/>
      <c r="N25" s="5"/>
      <c r="O25" s="4">
        <f>SUM(O2:O24)</f>
        <v>0.493799994949495</v>
      </c>
    </row>
    <row r="26" spans="1:17" ht="26.7" customHeight="1" x14ac:dyDescent="0.3"/>
  </sheetData>
  <mergeCells count="62">
    <mergeCell ref="A2:A13"/>
    <mergeCell ref="P22:P23"/>
    <mergeCell ref="Q6:Q8"/>
    <mergeCell ref="C20:C21"/>
    <mergeCell ref="K2:K4"/>
    <mergeCell ref="D6:D9"/>
    <mergeCell ref="L10:L12"/>
    <mergeCell ref="N10:N12"/>
    <mergeCell ref="O2:O4"/>
    <mergeCell ref="N6:N8"/>
    <mergeCell ref="Q2:Q4"/>
    <mergeCell ref="A22:A24"/>
    <mergeCell ref="C10:C13"/>
    <mergeCell ref="D2:D5"/>
    <mergeCell ref="I21:N21"/>
    <mergeCell ref="C22:C23"/>
    <mergeCell ref="Q22:Q23"/>
    <mergeCell ref="I10:I12"/>
    <mergeCell ref="J2:J4"/>
    <mergeCell ref="L2:L4"/>
    <mergeCell ref="O10:O12"/>
    <mergeCell ref="O22:O23"/>
    <mergeCell ref="I2:I4"/>
    <mergeCell ref="P10:P12"/>
    <mergeCell ref="P2:P4"/>
    <mergeCell ref="Q10:Q12"/>
    <mergeCell ref="I6:I8"/>
    <mergeCell ref="K10:K12"/>
    <mergeCell ref="K6:K8"/>
    <mergeCell ref="L6:L8"/>
    <mergeCell ref="I16:N16"/>
    <mergeCell ref="B22:B24"/>
    <mergeCell ref="F6:F8"/>
    <mergeCell ref="B2:B13"/>
    <mergeCell ref="C2:C5"/>
    <mergeCell ref="I22:N23"/>
    <mergeCell ref="J10:J12"/>
    <mergeCell ref="M2:M4"/>
    <mergeCell ref="F2:F4"/>
    <mergeCell ref="E22:E23"/>
    <mergeCell ref="N2:N4"/>
    <mergeCell ref="E2:E4"/>
    <mergeCell ref="D22:D23"/>
    <mergeCell ref="F10:F12"/>
    <mergeCell ref="F22:F23"/>
    <mergeCell ref="I24:N24"/>
    <mergeCell ref="A20:A21"/>
    <mergeCell ref="J6:J8"/>
    <mergeCell ref="B20:B21"/>
    <mergeCell ref="P6:P8"/>
    <mergeCell ref="A14:A19"/>
    <mergeCell ref="D20:D21"/>
    <mergeCell ref="E6:E8"/>
    <mergeCell ref="M10:M12"/>
    <mergeCell ref="M6:M8"/>
    <mergeCell ref="E10:E12"/>
    <mergeCell ref="P20:P21"/>
    <mergeCell ref="C6:C9"/>
    <mergeCell ref="D10:D13"/>
    <mergeCell ref="B14:B19"/>
    <mergeCell ref="O6:O8"/>
    <mergeCell ref="I20:N20"/>
  </mergeCells>
  <printOptions horizontalCentered="1"/>
  <pageMargins left="0.23622047244094491" right="0.23622047244094491" top="0.74803149606299213" bottom="0.74803149606299213" header="0.31496062992125978" footer="0.31496062992125978"/>
  <pageSetup scale="45" fitToHeight="0" orientation="landscape"/>
  <rowBreaks count="1" manualBreakCount="1">
    <brk id="19"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9">
    <tabColor theme="7" tint="0.39997558519241921"/>
    <pageSetUpPr fitToPage="1"/>
  </sheetPr>
  <dimension ref="A1:Q26"/>
  <sheetViews>
    <sheetView topLeftCell="F20" zoomScale="70" zoomScaleNormal="70" zoomScaleSheetLayoutView="70" workbookViewId="0">
      <selection activeCell="A22" sqref="A22:A24"/>
    </sheetView>
  </sheetViews>
  <sheetFormatPr baseColWidth="10" defaultColWidth="28.33203125" defaultRowHeight="15.6" x14ac:dyDescent="0.3"/>
  <cols>
    <col min="1" max="1" width="28.33203125" style="3" customWidth="1"/>
    <col min="2" max="2" width="21.88671875" customWidth="1"/>
    <col min="3" max="3" width="27" style="2" bestFit="1" customWidth="1"/>
    <col min="4" max="4" width="10" customWidth="1"/>
    <col min="5" max="5" width="45" style="1" customWidth="1"/>
    <col min="7" max="7" width="41.6640625" customWidth="1"/>
    <col min="9" max="13" width="21" customWidth="1"/>
    <col min="14" max="15" width="16.44140625" customWidth="1"/>
    <col min="16" max="16" width="118.33203125" style="118"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83" t="s">
        <v>16</v>
      </c>
    </row>
    <row r="2" spans="1:17" ht="18.600000000000001" customHeight="1" thickTop="1" thickBot="1" x14ac:dyDescent="0.35">
      <c r="A2" s="388" t="s">
        <v>17</v>
      </c>
      <c r="B2" s="284">
        <v>0.2</v>
      </c>
      <c r="C2" s="422" t="s">
        <v>77</v>
      </c>
      <c r="D2" s="429">
        <f>$B$2/3</f>
        <v>6.6666666666666666E-2</v>
      </c>
      <c r="E2" s="425" t="s">
        <v>19</v>
      </c>
      <c r="F2" s="424">
        <f>$B$2/6</f>
        <v>3.3333333333333333E-2</v>
      </c>
      <c r="G2" s="49" t="s">
        <v>20</v>
      </c>
      <c r="H2" s="24">
        <v>1</v>
      </c>
      <c r="I2" s="447"/>
      <c r="J2" s="437"/>
      <c r="K2" s="452">
        <v>0.8</v>
      </c>
      <c r="L2" s="437">
        <f>K2*$F$2</f>
        <v>2.6666666666666668E-2</v>
      </c>
      <c r="M2" s="431">
        <v>0.8</v>
      </c>
      <c r="N2" s="437">
        <f>M2*$F$2</f>
        <v>2.6666666666666668E-2</v>
      </c>
      <c r="O2" s="453">
        <f>AVERAGE(J2,L2,N2)</f>
        <v>2.6666666666666668E-2</v>
      </c>
      <c r="P2" s="433" t="s">
        <v>166</v>
      </c>
      <c r="Q2" s="324" t="s">
        <v>22</v>
      </c>
    </row>
    <row r="3" spans="1:17" ht="36.75" customHeight="1" thickTop="1" thickBot="1" x14ac:dyDescent="0.35">
      <c r="A3" s="345"/>
      <c r="B3" s="280"/>
      <c r="C3" s="307"/>
      <c r="D3" s="280"/>
      <c r="E3" s="346"/>
      <c r="F3" s="280"/>
      <c r="G3" s="38" t="s">
        <v>23</v>
      </c>
      <c r="H3" s="24">
        <v>0.8</v>
      </c>
      <c r="I3" s="293"/>
      <c r="J3" s="289"/>
      <c r="K3" s="289"/>
      <c r="L3" s="289"/>
      <c r="M3" s="289"/>
      <c r="N3" s="289"/>
      <c r="O3" s="304"/>
      <c r="P3" s="385"/>
      <c r="Q3" s="280"/>
    </row>
    <row r="4" spans="1:17" ht="48" customHeight="1" thickTop="1" thickBot="1" x14ac:dyDescent="0.35">
      <c r="A4" s="345"/>
      <c r="B4" s="280"/>
      <c r="C4" s="307"/>
      <c r="D4" s="280"/>
      <c r="E4" s="276"/>
      <c r="F4" s="276"/>
      <c r="G4" s="38" t="s">
        <v>24</v>
      </c>
      <c r="H4" s="23">
        <v>0</v>
      </c>
      <c r="I4" s="294"/>
      <c r="J4" s="290"/>
      <c r="K4" s="290"/>
      <c r="L4" s="290"/>
      <c r="M4" s="290"/>
      <c r="N4" s="290"/>
      <c r="O4" s="305"/>
      <c r="P4" s="386"/>
      <c r="Q4" s="276"/>
    </row>
    <row r="5" spans="1:17" ht="87" customHeight="1" thickTop="1" thickBot="1" x14ac:dyDescent="0.35">
      <c r="A5" s="345"/>
      <c r="B5" s="280"/>
      <c r="C5" s="276"/>
      <c r="D5" s="276"/>
      <c r="E5" s="10" t="s">
        <v>25</v>
      </c>
      <c r="F5" s="22">
        <f>$B$2/6</f>
        <v>3.3333333333333333E-2</v>
      </c>
      <c r="G5" s="38" t="s">
        <v>26</v>
      </c>
      <c r="H5" s="21" t="s">
        <v>27</v>
      </c>
      <c r="I5" s="131"/>
      <c r="J5" s="42"/>
      <c r="K5" s="41">
        <v>1</v>
      </c>
      <c r="L5" s="42">
        <f>K5*$F$5</f>
        <v>3.3333333333333333E-2</v>
      </c>
      <c r="M5" s="41">
        <v>1</v>
      </c>
      <c r="N5" s="42">
        <f>M5*$F$5</f>
        <v>3.3333333333333333E-2</v>
      </c>
      <c r="O5" s="125">
        <f>AVERAGE(J5,L5,N5)</f>
        <v>3.3333333333333333E-2</v>
      </c>
      <c r="P5" s="195" t="s">
        <v>167</v>
      </c>
      <c r="Q5" s="10" t="s">
        <v>22</v>
      </c>
    </row>
    <row r="6" spans="1:17" ht="18.600000000000001" customHeight="1" thickTop="1" thickBot="1" x14ac:dyDescent="0.35">
      <c r="A6" s="345"/>
      <c r="B6" s="280"/>
      <c r="C6" s="306" t="s">
        <v>115</v>
      </c>
      <c r="D6" s="285">
        <f>$B$2/3</f>
        <v>6.6666666666666666E-2</v>
      </c>
      <c r="E6" s="324" t="s">
        <v>19</v>
      </c>
      <c r="F6" s="312">
        <f>$B$2/6</f>
        <v>3.3333333333333333E-2</v>
      </c>
      <c r="G6" s="38" t="s">
        <v>20</v>
      </c>
      <c r="H6" s="25">
        <v>1</v>
      </c>
      <c r="I6" s="449">
        <v>1</v>
      </c>
      <c r="J6" s="432">
        <f>I6*$F$6</f>
        <v>3.3333333333333333E-2</v>
      </c>
      <c r="K6" s="431">
        <v>1</v>
      </c>
      <c r="L6" s="432">
        <f>K6*$F$6</f>
        <v>3.3333333333333333E-2</v>
      </c>
      <c r="M6" s="431">
        <v>1</v>
      </c>
      <c r="N6" s="432">
        <f>M6*$F$6</f>
        <v>3.3333333333333333E-2</v>
      </c>
      <c r="O6" s="439">
        <f>AVERAGE(J6,L6,N6)</f>
        <v>3.3333333333333333E-2</v>
      </c>
      <c r="P6" s="419" t="s">
        <v>132</v>
      </c>
      <c r="Q6" s="324" t="s">
        <v>22</v>
      </c>
    </row>
    <row r="7" spans="1:17" ht="18.600000000000001" customHeight="1" thickTop="1" thickBot="1" x14ac:dyDescent="0.35">
      <c r="A7" s="345"/>
      <c r="B7" s="280"/>
      <c r="C7" s="307"/>
      <c r="D7" s="280"/>
      <c r="E7" s="346"/>
      <c r="F7" s="280"/>
      <c r="G7" s="38" t="s">
        <v>23</v>
      </c>
      <c r="H7" s="24">
        <v>0.8</v>
      </c>
      <c r="I7" s="293"/>
      <c r="J7" s="289"/>
      <c r="K7" s="289"/>
      <c r="L7" s="289"/>
      <c r="M7" s="289"/>
      <c r="N7" s="289"/>
      <c r="O7" s="304"/>
      <c r="P7" s="385"/>
      <c r="Q7" s="280"/>
    </row>
    <row r="8" spans="1:17" ht="55.5" customHeight="1" thickTop="1" thickBot="1" x14ac:dyDescent="0.35">
      <c r="A8" s="345"/>
      <c r="B8" s="280"/>
      <c r="C8" s="307"/>
      <c r="D8" s="280"/>
      <c r="E8" s="276"/>
      <c r="F8" s="276"/>
      <c r="G8" s="38" t="s">
        <v>24</v>
      </c>
      <c r="H8" s="23">
        <v>0</v>
      </c>
      <c r="I8" s="294"/>
      <c r="J8" s="290"/>
      <c r="K8" s="290"/>
      <c r="L8" s="290"/>
      <c r="M8" s="290"/>
      <c r="N8" s="290"/>
      <c r="O8" s="305"/>
      <c r="P8" s="386"/>
      <c r="Q8" s="276"/>
    </row>
    <row r="9" spans="1:17" ht="75" customHeight="1" thickTop="1" thickBot="1" x14ac:dyDescent="0.35">
      <c r="A9" s="345"/>
      <c r="B9" s="280"/>
      <c r="C9" s="276"/>
      <c r="D9" s="276"/>
      <c r="E9" s="10" t="s">
        <v>25</v>
      </c>
      <c r="F9" s="22">
        <f>$B$2/6</f>
        <v>3.3333333333333333E-2</v>
      </c>
      <c r="G9" s="38" t="s">
        <v>26</v>
      </c>
      <c r="H9" s="21" t="s">
        <v>27</v>
      </c>
      <c r="I9" s="134">
        <v>1</v>
      </c>
      <c r="J9" s="130">
        <f>I9*$F$9</f>
        <v>3.3333333333333333E-2</v>
      </c>
      <c r="K9" s="133">
        <v>1</v>
      </c>
      <c r="L9" s="130">
        <f>K9*$F$9</f>
        <v>3.3333333333333333E-2</v>
      </c>
      <c r="M9" s="41">
        <v>1</v>
      </c>
      <c r="N9" s="42">
        <f>M9*$F$9</f>
        <v>3.3333333333333333E-2</v>
      </c>
      <c r="O9" s="125">
        <f>AVERAGE(J9,L9,N9)</f>
        <v>3.3333333333333333E-2</v>
      </c>
      <c r="P9" s="195" t="s">
        <v>133</v>
      </c>
      <c r="Q9" s="10" t="s">
        <v>22</v>
      </c>
    </row>
    <row r="10" spans="1:17" ht="18.600000000000001" customHeight="1" thickTop="1" thickBot="1" x14ac:dyDescent="0.35">
      <c r="A10" s="345"/>
      <c r="B10" s="280"/>
      <c r="C10" s="306" t="s">
        <v>18</v>
      </c>
      <c r="D10" s="285">
        <f>$B$2/3</f>
        <v>6.6666666666666666E-2</v>
      </c>
      <c r="E10" s="324" t="s">
        <v>19</v>
      </c>
      <c r="F10" s="312">
        <f>$B$2/6</f>
        <v>3.3333333333333333E-2</v>
      </c>
      <c r="G10" s="38" t="s">
        <v>20</v>
      </c>
      <c r="H10" s="25">
        <v>1</v>
      </c>
      <c r="I10" s="434">
        <v>1</v>
      </c>
      <c r="J10" s="446">
        <f>I10*$F$10</f>
        <v>3.3333333333333333E-2</v>
      </c>
      <c r="K10" s="434">
        <v>1</v>
      </c>
      <c r="L10" s="446">
        <f>K10*$F$10</f>
        <v>3.3333333333333333E-2</v>
      </c>
      <c r="M10" s="434">
        <v>1</v>
      </c>
      <c r="N10" s="454">
        <f>M10*$F$10</f>
        <v>3.3333333333333333E-2</v>
      </c>
      <c r="O10" s="439">
        <f>AVERAGE(J10,L10)</f>
        <v>3.3333333333333333E-2</v>
      </c>
      <c r="P10" s="448" t="s">
        <v>21</v>
      </c>
      <c r="Q10" s="324" t="s">
        <v>22</v>
      </c>
    </row>
    <row r="11" spans="1:17" ht="18.600000000000001" customHeight="1" thickTop="1" thickBot="1" x14ac:dyDescent="0.35">
      <c r="A11" s="345"/>
      <c r="B11" s="280"/>
      <c r="C11" s="307"/>
      <c r="D11" s="280"/>
      <c r="E11" s="346"/>
      <c r="F11" s="280"/>
      <c r="G11" s="38" t="s">
        <v>23</v>
      </c>
      <c r="H11" s="24">
        <v>0.8</v>
      </c>
      <c r="I11" s="435"/>
      <c r="J11" s="435"/>
      <c r="K11" s="435"/>
      <c r="L11" s="435"/>
      <c r="M11" s="435"/>
      <c r="N11" s="293"/>
      <c r="O11" s="304"/>
      <c r="P11" s="385"/>
      <c r="Q11" s="280"/>
    </row>
    <row r="12" spans="1:17" ht="46.95" customHeight="1" thickTop="1" thickBot="1" x14ac:dyDescent="0.35">
      <c r="A12" s="345"/>
      <c r="B12" s="280"/>
      <c r="C12" s="307"/>
      <c r="D12" s="280"/>
      <c r="E12" s="276"/>
      <c r="F12" s="276"/>
      <c r="G12" s="38" t="s">
        <v>24</v>
      </c>
      <c r="H12" s="23">
        <v>0.5</v>
      </c>
      <c r="I12" s="436"/>
      <c r="J12" s="436"/>
      <c r="K12" s="436"/>
      <c r="L12" s="436"/>
      <c r="M12" s="436"/>
      <c r="N12" s="455"/>
      <c r="O12" s="305"/>
      <c r="P12" s="386"/>
      <c r="Q12" s="276"/>
    </row>
    <row r="13" spans="1:17" ht="113.25" customHeight="1" thickTop="1" thickBot="1" x14ac:dyDescent="0.35">
      <c r="A13" s="276"/>
      <c r="B13" s="276"/>
      <c r="C13" s="276"/>
      <c r="D13" s="276"/>
      <c r="E13" s="10" t="s">
        <v>25</v>
      </c>
      <c r="F13" s="22">
        <f>$B$2/6</f>
        <v>3.3333333333333333E-2</v>
      </c>
      <c r="G13" s="38" t="s">
        <v>26</v>
      </c>
      <c r="H13" s="21" t="s">
        <v>27</v>
      </c>
      <c r="I13" s="169">
        <v>1</v>
      </c>
      <c r="J13" s="170">
        <f>I13*$F$13</f>
        <v>3.3333333333333333E-2</v>
      </c>
      <c r="K13" s="169">
        <v>1</v>
      </c>
      <c r="L13" s="170">
        <f>K13*$F$13</f>
        <v>3.3333333333333333E-2</v>
      </c>
      <c r="M13" s="169">
        <v>1</v>
      </c>
      <c r="N13" s="167">
        <f>M13*$F$13</f>
        <v>3.3333333333333333E-2</v>
      </c>
      <c r="O13" s="124">
        <f>AVERAGE(J13,L13,N13)</f>
        <v>3.3333333333333333E-2</v>
      </c>
      <c r="P13" s="246" t="s">
        <v>98</v>
      </c>
      <c r="Q13" s="10" t="s">
        <v>22</v>
      </c>
    </row>
    <row r="14" spans="1:17" ht="78" customHeight="1" thickTop="1" thickBot="1" x14ac:dyDescent="0.35">
      <c r="A14" s="286" t="s">
        <v>29</v>
      </c>
      <c r="B14" s="302">
        <v>0.25</v>
      </c>
      <c r="C14" s="28" t="s">
        <v>77</v>
      </c>
      <c r="D14" s="18">
        <v>0.05</v>
      </c>
      <c r="E14" s="8" t="s">
        <v>81</v>
      </c>
      <c r="F14" s="18">
        <v>0.05</v>
      </c>
      <c r="G14" s="30" t="s">
        <v>82</v>
      </c>
      <c r="H14" s="17" t="s">
        <v>27</v>
      </c>
      <c r="I14" s="120"/>
      <c r="J14" s="119"/>
      <c r="K14" s="120">
        <v>0.9</v>
      </c>
      <c r="L14" s="119">
        <f>K14*$F$14</f>
        <v>4.5000000000000005E-2</v>
      </c>
      <c r="M14" s="120">
        <v>0.9</v>
      </c>
      <c r="N14" s="167">
        <f>M14*$F$14</f>
        <v>4.5000000000000005E-2</v>
      </c>
      <c r="O14" s="124">
        <f>AVERAGE(J14,N14,L14)</f>
        <v>4.5000000000000005E-2</v>
      </c>
      <c r="P14" s="225" t="s">
        <v>168</v>
      </c>
      <c r="Q14" s="8" t="s">
        <v>22</v>
      </c>
    </row>
    <row r="15" spans="1:17" ht="161.4" customHeight="1" thickTop="1" thickBot="1" x14ac:dyDescent="0.35">
      <c r="A15" s="345"/>
      <c r="B15" s="280"/>
      <c r="C15" s="28" t="s">
        <v>115</v>
      </c>
      <c r="D15" s="18">
        <v>0.05</v>
      </c>
      <c r="E15" s="8" t="s">
        <v>119</v>
      </c>
      <c r="F15" s="18">
        <v>0.05</v>
      </c>
      <c r="G15" s="31" t="s">
        <v>120</v>
      </c>
      <c r="H15" s="17" t="s">
        <v>27</v>
      </c>
      <c r="I15" s="171">
        <v>0.41399999999999998</v>
      </c>
      <c r="J15" s="137">
        <f>I15*$F$15</f>
        <v>2.07E-2</v>
      </c>
      <c r="K15" s="171">
        <v>0.42149999999999999</v>
      </c>
      <c r="L15" s="137">
        <f>K15*$F$15</f>
        <v>2.1075E-2</v>
      </c>
      <c r="M15" s="171">
        <v>0.54449999999999998</v>
      </c>
      <c r="N15" s="168">
        <f>M15*$F$15</f>
        <v>2.7224999999999999E-2</v>
      </c>
      <c r="O15" s="135">
        <f>AVERAGE(J15,L15,N15)</f>
        <v>2.3000000000000003E-2</v>
      </c>
      <c r="P15" s="225" t="s">
        <v>134</v>
      </c>
      <c r="Q15" s="8" t="s">
        <v>22</v>
      </c>
    </row>
    <row r="16" spans="1:17" ht="323.39999999999998" customHeight="1" thickTop="1" thickBot="1" x14ac:dyDescent="0.35">
      <c r="A16" s="345"/>
      <c r="B16" s="280"/>
      <c r="C16" s="28" t="s">
        <v>84</v>
      </c>
      <c r="D16" s="18">
        <v>0.05</v>
      </c>
      <c r="E16" s="8" t="s">
        <v>85</v>
      </c>
      <c r="F16" s="18">
        <v>0.05</v>
      </c>
      <c r="G16" s="30" t="s">
        <v>85</v>
      </c>
      <c r="H16" s="17" t="s">
        <v>27</v>
      </c>
      <c r="I16" s="313">
        <v>0.71879999999999999</v>
      </c>
      <c r="J16" s="314"/>
      <c r="K16" s="314"/>
      <c r="L16" s="314"/>
      <c r="M16" s="314"/>
      <c r="N16" s="315"/>
      <c r="O16" s="124">
        <f>I16*D16</f>
        <v>3.594E-2</v>
      </c>
      <c r="P16" s="245" t="s">
        <v>169</v>
      </c>
      <c r="Q16" s="8" t="s">
        <v>43</v>
      </c>
    </row>
    <row r="17" spans="1:17" ht="83.4" customHeight="1" thickTop="1" thickBot="1" x14ac:dyDescent="0.35">
      <c r="A17" s="345"/>
      <c r="B17" s="280"/>
      <c r="C17" s="27" t="s">
        <v>87</v>
      </c>
      <c r="D17" s="20">
        <v>0.05</v>
      </c>
      <c r="E17" s="10" t="s">
        <v>88</v>
      </c>
      <c r="F17" s="20">
        <v>0.05</v>
      </c>
      <c r="G17" s="32" t="s">
        <v>89</v>
      </c>
      <c r="H17" s="19" t="s">
        <v>27</v>
      </c>
      <c r="I17" s="163">
        <v>1</v>
      </c>
      <c r="J17" s="162">
        <f>I17*$F$17</f>
        <v>0.05</v>
      </c>
      <c r="K17" s="164">
        <v>1</v>
      </c>
      <c r="L17" s="162">
        <f>K17*$F$17</f>
        <v>0.05</v>
      </c>
      <c r="M17" s="164">
        <v>1</v>
      </c>
      <c r="N17" s="162">
        <f>M17*$F$17</f>
        <v>0.05</v>
      </c>
      <c r="O17" s="132">
        <f>AVERAGE(J17,L17,N17)</f>
        <v>5.000000000000001E-2</v>
      </c>
      <c r="P17" s="195" t="s">
        <v>90</v>
      </c>
      <c r="Q17" s="10" t="s">
        <v>22</v>
      </c>
    </row>
    <row r="18" spans="1:17" ht="117" customHeight="1" thickTop="1" thickBot="1" x14ac:dyDescent="0.35">
      <c r="A18" s="345"/>
      <c r="B18" s="280"/>
      <c r="C18" s="28" t="s">
        <v>30</v>
      </c>
      <c r="D18" s="18">
        <v>0.03</v>
      </c>
      <c r="E18" s="8" t="s">
        <v>31</v>
      </c>
      <c r="F18" s="18">
        <v>0.03</v>
      </c>
      <c r="G18" s="30" t="s">
        <v>32</v>
      </c>
      <c r="H18" s="17" t="s">
        <v>27</v>
      </c>
      <c r="I18" s="131">
        <v>1</v>
      </c>
      <c r="J18" s="42">
        <f>I18*$F$18</f>
        <v>0.03</v>
      </c>
      <c r="K18" s="41">
        <v>1</v>
      </c>
      <c r="L18" s="125">
        <f>K18*$F$18</f>
        <v>0.03</v>
      </c>
      <c r="M18" s="41">
        <v>1</v>
      </c>
      <c r="N18" s="161">
        <f>M18*$F$18</f>
        <v>0.03</v>
      </c>
      <c r="O18" s="125">
        <f>AVERAGE(J18,L18,N18)</f>
        <v>0.03</v>
      </c>
      <c r="P18" s="196" t="s">
        <v>170</v>
      </c>
      <c r="Q18" s="8" t="s">
        <v>22</v>
      </c>
    </row>
    <row r="19" spans="1:17" ht="115.2" customHeight="1" thickTop="1" thickBot="1" x14ac:dyDescent="0.35">
      <c r="A19" s="276"/>
      <c r="B19" s="276"/>
      <c r="C19" s="29" t="s">
        <v>34</v>
      </c>
      <c r="D19" s="15">
        <v>0.02</v>
      </c>
      <c r="E19" s="16" t="s">
        <v>35</v>
      </c>
      <c r="F19" s="15">
        <v>0.02</v>
      </c>
      <c r="G19" s="33" t="s">
        <v>36</v>
      </c>
      <c r="H19" s="2" t="s">
        <v>27</v>
      </c>
      <c r="I19" s="131">
        <v>0.77080000000000004</v>
      </c>
      <c r="J19" s="42">
        <f>F19*I19</f>
        <v>1.5416000000000001E-2</v>
      </c>
      <c r="K19" s="41">
        <v>0.75509999999999999</v>
      </c>
      <c r="L19" s="42">
        <f>K19*$F$19</f>
        <v>1.5102000000000001E-2</v>
      </c>
      <c r="M19" s="41">
        <v>0.75509999999999999</v>
      </c>
      <c r="N19" s="42">
        <f>M19*$F$19</f>
        <v>1.5102000000000001E-2</v>
      </c>
      <c r="O19" s="125">
        <f>AVERAGE(J19,L19,N19)</f>
        <v>1.5206666666666669E-2</v>
      </c>
      <c r="P19" s="196" t="s">
        <v>171</v>
      </c>
      <c r="Q19" s="16" t="s">
        <v>22</v>
      </c>
    </row>
    <row r="20" spans="1:17" ht="186" customHeight="1" thickTop="1" thickBot="1" x14ac:dyDescent="0.35">
      <c r="A20" s="430" t="s">
        <v>38</v>
      </c>
      <c r="B20" s="302">
        <v>0.25</v>
      </c>
      <c r="C20" s="451" t="s">
        <v>39</v>
      </c>
      <c r="D20" s="275">
        <f>B20</f>
        <v>0.25</v>
      </c>
      <c r="E20" s="128" t="s">
        <v>40</v>
      </c>
      <c r="F20" s="14">
        <f>D20*0.8</f>
        <v>0.2</v>
      </c>
      <c r="G20" s="126" t="s">
        <v>41</v>
      </c>
      <c r="H20" s="11" t="s">
        <v>27</v>
      </c>
      <c r="I20" s="440">
        <f>((0)/(2))</f>
        <v>0</v>
      </c>
      <c r="J20" s="441"/>
      <c r="K20" s="441"/>
      <c r="L20" s="441"/>
      <c r="M20" s="441"/>
      <c r="N20" s="442"/>
      <c r="O20" s="125">
        <f>I20*F20</f>
        <v>0</v>
      </c>
      <c r="P20" s="438" t="s">
        <v>172</v>
      </c>
      <c r="Q20" s="8" t="s">
        <v>43</v>
      </c>
    </row>
    <row r="21" spans="1:17" ht="186" customHeight="1" thickTop="1" thickBot="1" x14ac:dyDescent="0.35">
      <c r="A21" s="276"/>
      <c r="B21" s="276"/>
      <c r="C21" s="276"/>
      <c r="D21" s="276"/>
      <c r="E21" s="129" t="s">
        <v>44</v>
      </c>
      <c r="F21" s="13">
        <f>D20*0.2</f>
        <v>0.05</v>
      </c>
      <c r="G21" s="127" t="s">
        <v>45</v>
      </c>
      <c r="H21" s="9" t="s">
        <v>27</v>
      </c>
      <c r="I21" s="440">
        <f>((0)/(1))</f>
        <v>0</v>
      </c>
      <c r="J21" s="441"/>
      <c r="K21" s="441"/>
      <c r="L21" s="441"/>
      <c r="M21" s="441"/>
      <c r="N21" s="442"/>
      <c r="O21" s="125">
        <f>I21*F21</f>
        <v>0</v>
      </c>
      <c r="P21" s="386"/>
      <c r="Q21" s="10" t="s">
        <v>43</v>
      </c>
    </row>
    <row r="22" spans="1:17" ht="66" customHeight="1" thickTop="1" x14ac:dyDescent="0.3">
      <c r="A22" s="286" t="s">
        <v>47</v>
      </c>
      <c r="B22" s="302">
        <v>0.3</v>
      </c>
      <c r="C22" s="295" t="s">
        <v>48</v>
      </c>
      <c r="D22" s="275">
        <f>$B$22/2</f>
        <v>0.15</v>
      </c>
      <c r="E22" s="324" t="s">
        <v>49</v>
      </c>
      <c r="F22" s="275">
        <f>$B$22/2</f>
        <v>0.15</v>
      </c>
      <c r="G22" s="36" t="s">
        <v>50</v>
      </c>
      <c r="H22" s="11">
        <v>1</v>
      </c>
      <c r="I22" s="443">
        <v>1</v>
      </c>
      <c r="J22" s="444"/>
      <c r="K22" s="444"/>
      <c r="L22" s="444"/>
      <c r="M22" s="444"/>
      <c r="N22" s="445"/>
      <c r="O22" s="439">
        <f>I22*$F22</f>
        <v>0.15</v>
      </c>
      <c r="P22" s="450" t="s">
        <v>94</v>
      </c>
      <c r="Q22" s="324" t="s">
        <v>43</v>
      </c>
    </row>
    <row r="23" spans="1:17" ht="66" customHeight="1" thickBot="1" x14ac:dyDescent="0.35">
      <c r="A23" s="345"/>
      <c r="B23" s="280"/>
      <c r="C23" s="276"/>
      <c r="D23" s="276"/>
      <c r="E23" s="276"/>
      <c r="F23" s="276"/>
      <c r="G23" s="37" t="s">
        <v>52</v>
      </c>
      <c r="H23" s="9">
        <v>0</v>
      </c>
      <c r="I23" s="376"/>
      <c r="J23" s="376"/>
      <c r="K23" s="376"/>
      <c r="L23" s="376"/>
      <c r="M23" s="376"/>
      <c r="N23" s="294"/>
      <c r="O23" s="305"/>
      <c r="P23" s="386"/>
      <c r="Q23" s="276"/>
    </row>
    <row r="24" spans="1:17" ht="82.2" customHeight="1" thickTop="1" thickBot="1" x14ac:dyDescent="0.35">
      <c r="A24" s="276"/>
      <c r="B24" s="276"/>
      <c r="C24" s="35" t="s">
        <v>53</v>
      </c>
      <c r="D24" s="6">
        <f>$B$22/2</f>
        <v>0.15</v>
      </c>
      <c r="E24" s="7" t="s">
        <v>54</v>
      </c>
      <c r="F24" s="6">
        <f>$B$22/2</f>
        <v>0.15</v>
      </c>
      <c r="G24" s="30" t="s">
        <v>55</v>
      </c>
      <c r="H24" s="6">
        <v>1</v>
      </c>
      <c r="I24" s="443">
        <v>0.79120000000000001</v>
      </c>
      <c r="J24" s="441"/>
      <c r="K24" s="441"/>
      <c r="L24" s="441"/>
      <c r="M24" s="441"/>
      <c r="N24" s="442"/>
      <c r="O24" s="125">
        <f>I24*$F24</f>
        <v>0.11867999999999999</v>
      </c>
      <c r="P24" s="247" t="s">
        <v>173</v>
      </c>
      <c r="Q24" s="7" t="s">
        <v>43</v>
      </c>
    </row>
    <row r="25" spans="1:17" ht="26.7" customHeight="1" thickTop="1" x14ac:dyDescent="0.3">
      <c r="L25" s="5" t="s">
        <v>57</v>
      </c>
      <c r="M25" s="5"/>
      <c r="N25" s="5"/>
      <c r="O25" s="4">
        <f>SUM(O2:O24)</f>
        <v>0.66115999999999986</v>
      </c>
      <c r="P25" s="73"/>
    </row>
    <row r="26" spans="1:17" ht="26.7" customHeight="1" x14ac:dyDescent="0.3"/>
  </sheetData>
  <mergeCells count="62">
    <mergeCell ref="A2:A13"/>
    <mergeCell ref="P22:P23"/>
    <mergeCell ref="Q6:Q8"/>
    <mergeCell ref="C20:C21"/>
    <mergeCell ref="D6:D9"/>
    <mergeCell ref="K2:K4"/>
    <mergeCell ref="L10:L12"/>
    <mergeCell ref="O2:O4"/>
    <mergeCell ref="N10:N12"/>
    <mergeCell ref="Q2:Q4"/>
    <mergeCell ref="N6:N8"/>
    <mergeCell ref="A22:A24"/>
    <mergeCell ref="C10:C13"/>
    <mergeCell ref="D2:D5"/>
    <mergeCell ref="I21:N21"/>
    <mergeCell ref="C22:C23"/>
    <mergeCell ref="Q22:Q23"/>
    <mergeCell ref="F22:F23"/>
    <mergeCell ref="F10:F12"/>
    <mergeCell ref="J2:J4"/>
    <mergeCell ref="I10:I12"/>
    <mergeCell ref="L2:L4"/>
    <mergeCell ref="O10:O12"/>
    <mergeCell ref="O22:O23"/>
    <mergeCell ref="I2:I4"/>
    <mergeCell ref="P10:P12"/>
    <mergeCell ref="Q10:Q12"/>
    <mergeCell ref="I6:I8"/>
    <mergeCell ref="K10:K12"/>
    <mergeCell ref="K6:K8"/>
    <mergeCell ref="L6:L8"/>
    <mergeCell ref="I16:N16"/>
    <mergeCell ref="B14:B19"/>
    <mergeCell ref="O6:O8"/>
    <mergeCell ref="I20:N20"/>
    <mergeCell ref="B22:B24"/>
    <mergeCell ref="F6:F8"/>
    <mergeCell ref="B2:B13"/>
    <mergeCell ref="C2:C5"/>
    <mergeCell ref="I22:N23"/>
    <mergeCell ref="J10:J12"/>
    <mergeCell ref="E22:E23"/>
    <mergeCell ref="D10:D13"/>
    <mergeCell ref="E2:E4"/>
    <mergeCell ref="D22:D23"/>
    <mergeCell ref="I24:N24"/>
    <mergeCell ref="A20:A21"/>
    <mergeCell ref="M2:M4"/>
    <mergeCell ref="J6:J8"/>
    <mergeCell ref="P6:P8"/>
    <mergeCell ref="A14:A19"/>
    <mergeCell ref="B20:B21"/>
    <mergeCell ref="D20:D21"/>
    <mergeCell ref="P2:P4"/>
    <mergeCell ref="E6:E8"/>
    <mergeCell ref="M10:M12"/>
    <mergeCell ref="M6:M8"/>
    <mergeCell ref="F2:F4"/>
    <mergeCell ref="E10:E12"/>
    <mergeCell ref="N2:N4"/>
    <mergeCell ref="P20:P21"/>
    <mergeCell ref="C6:C9"/>
  </mergeCells>
  <pageMargins left="0.25" right="0.25" top="0.75" bottom="0.75" header="0.3" footer="0.3"/>
  <pageSetup paperSize="9" scale="31"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
    <tabColor theme="7" tint="0.39997558519241921"/>
  </sheetPr>
  <dimension ref="A1:Q26"/>
  <sheetViews>
    <sheetView topLeftCell="A20" zoomScale="60" zoomScaleNormal="60" zoomScaleSheetLayoutView="80" workbookViewId="0">
      <selection activeCell="Q25" sqref="Q25"/>
    </sheetView>
  </sheetViews>
  <sheetFormatPr baseColWidth="10" defaultColWidth="11.44140625" defaultRowHeight="18" x14ac:dyDescent="0.35"/>
  <cols>
    <col min="1" max="1" width="20.6640625" style="3" customWidth="1"/>
    <col min="2" max="2" width="9.109375" customWidth="1"/>
    <col min="3" max="3" width="19.6640625" style="2" customWidth="1"/>
    <col min="4" max="4" width="8.33203125" customWidth="1"/>
    <col min="5" max="5" width="40.6640625" style="1" customWidth="1"/>
    <col min="6" max="6" width="8" customWidth="1"/>
    <col min="7" max="7" width="61" style="53" customWidth="1"/>
    <col min="8" max="8" width="10.109375" customWidth="1"/>
    <col min="9" max="15" width="19.88671875" customWidth="1"/>
    <col min="16" max="16" width="155.5546875" style="235" customWidth="1"/>
    <col min="17" max="20" width="32.664062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54" t="s">
        <v>16</v>
      </c>
    </row>
    <row r="2" spans="1:17" ht="43.5" customHeight="1" thickTop="1" thickBot="1" x14ac:dyDescent="0.35">
      <c r="A2" s="388" t="s">
        <v>17</v>
      </c>
      <c r="B2" s="284">
        <v>0.2</v>
      </c>
      <c r="C2" s="422" t="s">
        <v>77</v>
      </c>
      <c r="D2" s="429">
        <f>$B$2/3</f>
        <v>6.6666666666666666E-2</v>
      </c>
      <c r="E2" s="425" t="s">
        <v>19</v>
      </c>
      <c r="F2" s="424">
        <f>$B$2/6</f>
        <v>3.3333333333333333E-2</v>
      </c>
      <c r="G2" s="49" t="s">
        <v>20</v>
      </c>
      <c r="H2" s="24">
        <v>1</v>
      </c>
      <c r="I2" s="292"/>
      <c r="J2" s="288"/>
      <c r="K2" s="301">
        <v>0.8</v>
      </c>
      <c r="L2" s="288">
        <f>K2*$F2</f>
        <v>2.6666666666666668E-2</v>
      </c>
      <c r="M2" s="351">
        <v>0.8</v>
      </c>
      <c r="N2" s="288">
        <f>M2*$F2</f>
        <v>2.6666666666666668E-2</v>
      </c>
      <c r="O2" s="303">
        <f>AVERAGE(J2,L2,N2)</f>
        <v>2.6666666666666668E-2</v>
      </c>
      <c r="P2" s="321" t="s">
        <v>174</v>
      </c>
      <c r="Q2" s="425" t="s">
        <v>22</v>
      </c>
    </row>
    <row r="3" spans="1:17" ht="35.25" customHeight="1" thickTop="1" thickBot="1" x14ac:dyDescent="0.35">
      <c r="A3" s="345"/>
      <c r="B3" s="280"/>
      <c r="C3" s="307"/>
      <c r="D3" s="280"/>
      <c r="E3" s="346"/>
      <c r="F3" s="280"/>
      <c r="G3" s="38" t="s">
        <v>23</v>
      </c>
      <c r="H3" s="24">
        <v>0.8</v>
      </c>
      <c r="I3" s="293"/>
      <c r="J3" s="289"/>
      <c r="K3" s="289"/>
      <c r="L3" s="289"/>
      <c r="M3" s="289"/>
      <c r="N3" s="289"/>
      <c r="O3" s="304"/>
      <c r="P3" s="322"/>
      <c r="Q3" s="280"/>
    </row>
    <row r="4" spans="1:17" ht="51" customHeight="1" thickTop="1" thickBot="1" x14ac:dyDescent="0.35">
      <c r="A4" s="345"/>
      <c r="B4" s="280"/>
      <c r="C4" s="307"/>
      <c r="D4" s="280"/>
      <c r="E4" s="276"/>
      <c r="F4" s="276"/>
      <c r="G4" s="38" t="s">
        <v>24</v>
      </c>
      <c r="H4" s="23">
        <v>0</v>
      </c>
      <c r="I4" s="294"/>
      <c r="J4" s="290"/>
      <c r="K4" s="290"/>
      <c r="L4" s="290"/>
      <c r="M4" s="290"/>
      <c r="N4" s="290"/>
      <c r="O4" s="305"/>
      <c r="P4" s="323"/>
      <c r="Q4" s="276"/>
    </row>
    <row r="5" spans="1:17" ht="121.5" customHeight="1" thickTop="1" thickBot="1" x14ac:dyDescent="0.35">
      <c r="A5" s="345"/>
      <c r="B5" s="280"/>
      <c r="C5" s="276"/>
      <c r="D5" s="276"/>
      <c r="E5" s="10" t="s">
        <v>25</v>
      </c>
      <c r="F5" s="22">
        <f>$B$2/6</f>
        <v>3.3333333333333333E-2</v>
      </c>
      <c r="G5" s="38" t="s">
        <v>26</v>
      </c>
      <c r="H5" s="21" t="s">
        <v>27</v>
      </c>
      <c r="I5" s="138"/>
      <c r="J5" s="139"/>
      <c r="K5" s="140">
        <v>1</v>
      </c>
      <c r="L5" s="139">
        <f>K5*$F5</f>
        <v>3.3333333333333333E-2</v>
      </c>
      <c r="M5" s="229">
        <v>1</v>
      </c>
      <c r="N5" s="139">
        <f>M5*$F5</f>
        <v>3.3333333333333333E-2</v>
      </c>
      <c r="O5" s="142">
        <f>AVERAGE(J5,L5,N5)</f>
        <v>3.3333333333333333E-2</v>
      </c>
      <c r="P5" s="236" t="s">
        <v>175</v>
      </c>
      <c r="Q5" s="10" t="s">
        <v>22</v>
      </c>
    </row>
    <row r="6" spans="1:17" ht="18.600000000000001" customHeight="1" thickTop="1" thickBot="1" x14ac:dyDescent="0.35">
      <c r="A6" s="345"/>
      <c r="B6" s="280"/>
      <c r="C6" s="306" t="s">
        <v>115</v>
      </c>
      <c r="D6" s="285">
        <f>$B$2/3</f>
        <v>6.6666666666666666E-2</v>
      </c>
      <c r="E6" s="324" t="s">
        <v>19</v>
      </c>
      <c r="F6" s="312">
        <f>$B$2/6</f>
        <v>3.3333333333333333E-2</v>
      </c>
      <c r="G6" s="38" t="s">
        <v>20</v>
      </c>
      <c r="H6" s="25">
        <v>1</v>
      </c>
      <c r="I6" s="292">
        <v>0.45240000000000002</v>
      </c>
      <c r="J6" s="288">
        <f>I6*$F6</f>
        <v>1.5080000000000001E-2</v>
      </c>
      <c r="K6" s="301">
        <v>0.68</v>
      </c>
      <c r="L6" s="288">
        <f>K6*$F6</f>
        <v>2.2666666666666668E-2</v>
      </c>
      <c r="M6" s="351">
        <v>0.35</v>
      </c>
      <c r="N6" s="288">
        <f>M6*$F6</f>
        <v>1.1666666666666665E-2</v>
      </c>
      <c r="O6" s="303">
        <f>AVERAGE(J6,L6,N6)</f>
        <v>1.6471111111111113E-2</v>
      </c>
      <c r="P6" s="321" t="s">
        <v>116</v>
      </c>
      <c r="Q6" s="324" t="s">
        <v>22</v>
      </c>
    </row>
    <row r="7" spans="1:17" ht="18.600000000000001" customHeight="1" thickTop="1" thickBot="1" x14ac:dyDescent="0.35">
      <c r="A7" s="345"/>
      <c r="B7" s="280"/>
      <c r="C7" s="307"/>
      <c r="D7" s="280"/>
      <c r="E7" s="346"/>
      <c r="F7" s="280"/>
      <c r="G7" s="38" t="s">
        <v>23</v>
      </c>
      <c r="H7" s="24">
        <v>0.8</v>
      </c>
      <c r="I7" s="293"/>
      <c r="J7" s="289"/>
      <c r="K7" s="289"/>
      <c r="L7" s="289"/>
      <c r="M7" s="289"/>
      <c r="N7" s="289"/>
      <c r="O7" s="304"/>
      <c r="P7" s="322"/>
      <c r="Q7" s="280"/>
    </row>
    <row r="8" spans="1:17" ht="72" customHeight="1" thickTop="1" thickBot="1" x14ac:dyDescent="0.35">
      <c r="A8" s="345"/>
      <c r="B8" s="280"/>
      <c r="C8" s="307"/>
      <c r="D8" s="280"/>
      <c r="E8" s="276"/>
      <c r="F8" s="276"/>
      <c r="G8" s="38" t="s">
        <v>24</v>
      </c>
      <c r="H8" s="23">
        <v>0</v>
      </c>
      <c r="I8" s="294"/>
      <c r="J8" s="290"/>
      <c r="K8" s="290"/>
      <c r="L8" s="290"/>
      <c r="M8" s="290"/>
      <c r="N8" s="290"/>
      <c r="O8" s="305"/>
      <c r="P8" s="323"/>
      <c r="Q8" s="276"/>
    </row>
    <row r="9" spans="1:17" ht="82.2" customHeight="1" thickTop="1" thickBot="1" x14ac:dyDescent="0.35">
      <c r="A9" s="345"/>
      <c r="B9" s="280"/>
      <c r="C9" s="276"/>
      <c r="D9" s="276"/>
      <c r="E9" s="10" t="s">
        <v>25</v>
      </c>
      <c r="F9" s="22">
        <f>$B$2/6</f>
        <v>3.3333333333333333E-2</v>
      </c>
      <c r="G9" s="38" t="s">
        <v>26</v>
      </c>
      <c r="H9" s="21" t="s">
        <v>27</v>
      </c>
      <c r="I9" s="138">
        <v>0.4476</v>
      </c>
      <c r="J9" s="139">
        <f>I9*$F9</f>
        <v>1.4919999999999999E-2</v>
      </c>
      <c r="K9" s="140">
        <v>0.6</v>
      </c>
      <c r="L9" s="139">
        <f>K9*$F9</f>
        <v>0.02</v>
      </c>
      <c r="M9" s="229">
        <v>0.86</v>
      </c>
      <c r="N9" s="139">
        <f>M9*$F9</f>
        <v>2.8666666666666667E-2</v>
      </c>
      <c r="O9" s="142">
        <f>AVERAGE(J9,L9,N9)</f>
        <v>2.1195555555555554E-2</v>
      </c>
      <c r="P9" s="236" t="s">
        <v>176</v>
      </c>
      <c r="Q9" s="10" t="s">
        <v>22</v>
      </c>
    </row>
    <row r="10" spans="1:17" ht="18.600000000000001" customHeight="1" thickTop="1" thickBot="1" x14ac:dyDescent="0.35">
      <c r="A10" s="345"/>
      <c r="B10" s="280"/>
      <c r="C10" s="306" t="s">
        <v>18</v>
      </c>
      <c r="D10" s="285">
        <f>$B$2/3</f>
        <v>6.6666666666666666E-2</v>
      </c>
      <c r="E10" s="324" t="s">
        <v>19</v>
      </c>
      <c r="F10" s="312">
        <f>$B$2/6</f>
        <v>3.3333333333333333E-2</v>
      </c>
      <c r="G10" s="38" t="s">
        <v>20</v>
      </c>
      <c r="H10" s="25">
        <v>1</v>
      </c>
      <c r="I10" s="292">
        <v>1</v>
      </c>
      <c r="J10" s="288">
        <f>I10*$F10</f>
        <v>3.3333333333333333E-2</v>
      </c>
      <c r="K10" s="292">
        <v>1</v>
      </c>
      <c r="L10" s="288">
        <f>K10*$F10</f>
        <v>3.3333333333333333E-2</v>
      </c>
      <c r="M10" s="292">
        <v>1</v>
      </c>
      <c r="N10" s="288">
        <f>M10*$F10</f>
        <v>3.3333333333333333E-2</v>
      </c>
      <c r="O10" s="303">
        <f>AVERAGE(J10,L10,N10)</f>
        <v>3.3333333333333333E-2</v>
      </c>
      <c r="P10" s="457" t="s">
        <v>21</v>
      </c>
      <c r="Q10" s="324" t="s">
        <v>22</v>
      </c>
    </row>
    <row r="11" spans="1:17" ht="18.600000000000001" customHeight="1" thickTop="1" thickBot="1" x14ac:dyDescent="0.35">
      <c r="A11" s="345"/>
      <c r="B11" s="280"/>
      <c r="C11" s="307"/>
      <c r="D11" s="280"/>
      <c r="E11" s="346"/>
      <c r="F11" s="280"/>
      <c r="G11" s="38" t="s">
        <v>23</v>
      </c>
      <c r="H11" s="24">
        <v>0.8</v>
      </c>
      <c r="I11" s="293"/>
      <c r="J11" s="289"/>
      <c r="K11" s="293"/>
      <c r="L11" s="289"/>
      <c r="M11" s="293"/>
      <c r="N11" s="289"/>
      <c r="O11" s="304"/>
      <c r="P11" s="322"/>
      <c r="Q11" s="280"/>
    </row>
    <row r="12" spans="1:17" ht="46.2" customHeight="1" thickTop="1" thickBot="1" x14ac:dyDescent="0.35">
      <c r="A12" s="345"/>
      <c r="B12" s="280"/>
      <c r="C12" s="307"/>
      <c r="D12" s="280"/>
      <c r="E12" s="276"/>
      <c r="F12" s="276"/>
      <c r="G12" s="38" t="s">
        <v>24</v>
      </c>
      <c r="H12" s="23">
        <v>0.5</v>
      </c>
      <c r="I12" s="294"/>
      <c r="J12" s="290"/>
      <c r="K12" s="294"/>
      <c r="L12" s="290"/>
      <c r="M12" s="294"/>
      <c r="N12" s="290"/>
      <c r="O12" s="305"/>
      <c r="P12" s="297"/>
      <c r="Q12" s="276"/>
    </row>
    <row r="13" spans="1:17" ht="126.75" customHeight="1" thickTop="1" thickBot="1" x14ac:dyDescent="0.35">
      <c r="A13" s="276"/>
      <c r="B13" s="276"/>
      <c r="C13" s="276"/>
      <c r="D13" s="276"/>
      <c r="E13" s="10" t="s">
        <v>25</v>
      </c>
      <c r="F13" s="22">
        <f>$B$2/6</f>
        <v>3.3333333333333333E-2</v>
      </c>
      <c r="G13" s="38" t="s">
        <v>26</v>
      </c>
      <c r="H13" s="21" t="s">
        <v>27</v>
      </c>
      <c r="I13" s="185">
        <v>1</v>
      </c>
      <c r="J13" s="139">
        <f>I13*$F13</f>
        <v>3.3333333333333333E-2</v>
      </c>
      <c r="K13" s="166">
        <v>1</v>
      </c>
      <c r="L13" s="139">
        <f>K13*$F13</f>
        <v>3.3333333333333333E-2</v>
      </c>
      <c r="M13" s="166">
        <v>1</v>
      </c>
      <c r="N13" s="139">
        <f>M13*$F13</f>
        <v>3.3333333333333333E-2</v>
      </c>
      <c r="O13" s="142">
        <f>AVERAGE(J13,L13,N13)</f>
        <v>3.3333333333333333E-2</v>
      </c>
      <c r="P13" s="232" t="s">
        <v>98</v>
      </c>
      <c r="Q13" s="10" t="s">
        <v>22</v>
      </c>
    </row>
    <row r="14" spans="1:17" ht="118.2" customHeight="1" thickTop="1" thickBot="1" x14ac:dyDescent="0.35">
      <c r="A14" s="286" t="s">
        <v>29</v>
      </c>
      <c r="B14" s="302">
        <v>0.25</v>
      </c>
      <c r="C14" s="28" t="s">
        <v>77</v>
      </c>
      <c r="D14" s="18">
        <v>0.05</v>
      </c>
      <c r="E14" s="8" t="s">
        <v>81</v>
      </c>
      <c r="F14" s="18">
        <v>0.05</v>
      </c>
      <c r="G14" s="30" t="s">
        <v>82</v>
      </c>
      <c r="H14" s="17" t="s">
        <v>27</v>
      </c>
      <c r="I14" s="131">
        <v>0</v>
      </c>
      <c r="J14" s="144">
        <f>I14*$F14</f>
        <v>0</v>
      </c>
      <c r="K14" s="131">
        <v>0.9</v>
      </c>
      <c r="L14" s="144">
        <f>K14*$F14</f>
        <v>4.5000000000000005E-2</v>
      </c>
      <c r="M14" s="131">
        <v>0.9</v>
      </c>
      <c r="N14" s="144">
        <f>M14*$F14</f>
        <v>4.5000000000000005E-2</v>
      </c>
      <c r="O14" s="147">
        <f>AVERAGE(J14,L14,N14)</f>
        <v>3.0000000000000002E-2</v>
      </c>
      <c r="P14" s="202" t="s">
        <v>177</v>
      </c>
      <c r="Q14" s="8" t="s">
        <v>22</v>
      </c>
    </row>
    <row r="15" spans="1:17" ht="175.95" customHeight="1" thickTop="1" thickBot="1" x14ac:dyDescent="0.35">
      <c r="A15" s="345"/>
      <c r="B15" s="280"/>
      <c r="C15" s="28" t="s">
        <v>115</v>
      </c>
      <c r="D15" s="18">
        <v>0.05</v>
      </c>
      <c r="E15" s="8" t="s">
        <v>119</v>
      </c>
      <c r="F15" s="18">
        <v>0.05</v>
      </c>
      <c r="G15" s="48" t="s">
        <v>120</v>
      </c>
      <c r="H15" s="17" t="s">
        <v>27</v>
      </c>
      <c r="I15" s="131">
        <v>0.75729999999999997</v>
      </c>
      <c r="J15" s="144">
        <f>I15*$F15</f>
        <v>3.7865000000000003E-2</v>
      </c>
      <c r="K15" s="131">
        <v>0.69259999999999999</v>
      </c>
      <c r="L15" s="144">
        <f>K15*$F15</f>
        <v>3.4630000000000001E-2</v>
      </c>
      <c r="M15" s="131">
        <v>0.81230000000000002</v>
      </c>
      <c r="N15" s="144">
        <f>M15*$F15</f>
        <v>4.0615000000000005E-2</v>
      </c>
      <c r="O15" s="147">
        <f>AVERAGE(J15,L15,N15)</f>
        <v>3.7703333333333339E-2</v>
      </c>
      <c r="P15" s="202" t="s">
        <v>121</v>
      </c>
      <c r="Q15" s="8" t="s">
        <v>22</v>
      </c>
    </row>
    <row r="16" spans="1:17" ht="300" customHeight="1" thickTop="1" thickBot="1" x14ac:dyDescent="0.35">
      <c r="A16" s="345"/>
      <c r="B16" s="280"/>
      <c r="C16" s="28" t="s">
        <v>84</v>
      </c>
      <c r="D16" s="18">
        <v>0.05</v>
      </c>
      <c r="E16" s="8" t="s">
        <v>85</v>
      </c>
      <c r="F16" s="18">
        <v>0.05</v>
      </c>
      <c r="G16" s="30" t="s">
        <v>85</v>
      </c>
      <c r="H16" s="17" t="s">
        <v>27</v>
      </c>
      <c r="I16" s="281">
        <v>0.80249999999999999</v>
      </c>
      <c r="J16" s="282"/>
      <c r="K16" s="282"/>
      <c r="L16" s="282"/>
      <c r="M16" s="282"/>
      <c r="N16" s="283"/>
      <c r="O16" s="147">
        <f>F16*I16</f>
        <v>4.0125000000000001E-2</v>
      </c>
      <c r="P16" s="202" t="s">
        <v>178</v>
      </c>
      <c r="Q16" s="8" t="s">
        <v>43</v>
      </c>
    </row>
    <row r="17" spans="1:17" ht="103.2" customHeight="1" thickTop="1" thickBot="1" x14ac:dyDescent="0.35">
      <c r="A17" s="345"/>
      <c r="B17" s="280"/>
      <c r="C17" s="27" t="s">
        <v>87</v>
      </c>
      <c r="D17" s="20">
        <v>0.05</v>
      </c>
      <c r="E17" s="10" t="s">
        <v>88</v>
      </c>
      <c r="F17" s="20">
        <v>0.05</v>
      </c>
      <c r="G17" s="49" t="s">
        <v>89</v>
      </c>
      <c r="H17" s="19" t="s">
        <v>27</v>
      </c>
      <c r="I17" s="143">
        <v>1</v>
      </c>
      <c r="J17" s="144">
        <f>I17*$F17</f>
        <v>0.05</v>
      </c>
      <c r="K17" s="145">
        <v>1</v>
      </c>
      <c r="L17" s="144">
        <f>K17*$F17</f>
        <v>0.05</v>
      </c>
      <c r="M17" s="231">
        <v>1</v>
      </c>
      <c r="N17" s="144">
        <f>M17*$F17</f>
        <v>0.05</v>
      </c>
      <c r="O17" s="147">
        <f>AVERAGE(J17,L17,N17)</f>
        <v>5.000000000000001E-2</v>
      </c>
      <c r="P17" s="233" t="s">
        <v>90</v>
      </c>
      <c r="Q17" s="10" t="s">
        <v>22</v>
      </c>
    </row>
    <row r="18" spans="1:17" ht="102.6" customHeight="1" thickTop="1" thickBot="1" x14ac:dyDescent="0.35">
      <c r="A18" s="345"/>
      <c r="B18" s="280"/>
      <c r="C18" s="28" t="s">
        <v>30</v>
      </c>
      <c r="D18" s="18">
        <v>0.03</v>
      </c>
      <c r="E18" s="8" t="s">
        <v>31</v>
      </c>
      <c r="F18" s="18">
        <v>0.03</v>
      </c>
      <c r="G18" s="38" t="s">
        <v>32</v>
      </c>
      <c r="H18" s="17" t="s">
        <v>27</v>
      </c>
      <c r="I18" s="166">
        <v>0.75</v>
      </c>
      <c r="J18" s="144">
        <f>I18*$F18</f>
        <v>2.2499999999999999E-2</v>
      </c>
      <c r="K18" s="145">
        <v>0.82350000000000001</v>
      </c>
      <c r="L18" s="144">
        <f>K18*$F18</f>
        <v>2.4704999999999998E-2</v>
      </c>
      <c r="M18" s="166">
        <v>0.77139999999999997</v>
      </c>
      <c r="N18" s="144">
        <f>M18*$F18</f>
        <v>2.3141999999999999E-2</v>
      </c>
      <c r="O18" s="147">
        <f>AVERAGE(J18,L18,N18)</f>
        <v>2.3448999999999998E-2</v>
      </c>
      <c r="P18" s="233" t="s">
        <v>179</v>
      </c>
      <c r="Q18" s="8" t="s">
        <v>22</v>
      </c>
    </row>
    <row r="19" spans="1:17" ht="131.25" customHeight="1" thickTop="1" thickBot="1" x14ac:dyDescent="0.35">
      <c r="A19" s="276"/>
      <c r="B19" s="276"/>
      <c r="C19" s="29" t="s">
        <v>34</v>
      </c>
      <c r="D19" s="15">
        <v>0.02</v>
      </c>
      <c r="E19" s="16" t="s">
        <v>35</v>
      </c>
      <c r="F19" s="15">
        <v>0.02</v>
      </c>
      <c r="G19" s="50" t="s">
        <v>36</v>
      </c>
      <c r="H19" s="2" t="s">
        <v>27</v>
      </c>
      <c r="I19" s="186">
        <v>0.53649999999999998</v>
      </c>
      <c r="J19" s="144">
        <f>I19*$F19</f>
        <v>1.073E-2</v>
      </c>
      <c r="K19" s="145">
        <v>0.57499999999999996</v>
      </c>
      <c r="L19" s="144">
        <f>K19*$F19</f>
        <v>1.15E-2</v>
      </c>
      <c r="M19" s="184">
        <v>0.61899999999999999</v>
      </c>
      <c r="N19" s="144">
        <f>M19*$F19</f>
        <v>1.238E-2</v>
      </c>
      <c r="O19" s="147">
        <f>AVERAGE(J19,L19,N19)</f>
        <v>1.1536666666666667E-2</v>
      </c>
      <c r="P19" s="233" t="s">
        <v>180</v>
      </c>
      <c r="Q19" s="16" t="s">
        <v>22</v>
      </c>
    </row>
    <row r="20" spans="1:17" ht="409.6" customHeight="1" thickTop="1" thickBot="1" x14ac:dyDescent="0.35">
      <c r="A20" s="286" t="s">
        <v>38</v>
      </c>
      <c r="B20" s="302">
        <v>0.25</v>
      </c>
      <c r="C20" s="295" t="s">
        <v>39</v>
      </c>
      <c r="D20" s="275">
        <f>B20</f>
        <v>0.25</v>
      </c>
      <c r="E20" s="8" t="s">
        <v>40</v>
      </c>
      <c r="F20" s="40">
        <f>D20*0.8</f>
        <v>0.2</v>
      </c>
      <c r="G20" s="38" t="s">
        <v>41</v>
      </c>
      <c r="H20" s="6" t="s">
        <v>27</v>
      </c>
      <c r="I20" s="456">
        <f>((3)/(4))</f>
        <v>0.75</v>
      </c>
      <c r="J20" s="276"/>
      <c r="K20" s="276"/>
      <c r="L20" s="276"/>
      <c r="M20" s="276"/>
      <c r="N20" s="276"/>
      <c r="O20" s="158">
        <f>I20*$F20</f>
        <v>0.15000000000000002</v>
      </c>
      <c r="P20" s="251" t="s">
        <v>181</v>
      </c>
      <c r="Q20" s="8" t="s">
        <v>43</v>
      </c>
    </row>
    <row r="21" spans="1:17" ht="195" customHeight="1" thickTop="1" thickBot="1" x14ac:dyDescent="0.35">
      <c r="A21" s="276"/>
      <c r="B21" s="276"/>
      <c r="C21" s="276"/>
      <c r="D21" s="276"/>
      <c r="E21" s="10" t="s">
        <v>44</v>
      </c>
      <c r="F21" s="13">
        <f>D20*0.2</f>
        <v>0.05</v>
      </c>
      <c r="G21" s="49" t="s">
        <v>45</v>
      </c>
      <c r="H21" s="9" t="s">
        <v>27</v>
      </c>
      <c r="I21" s="291">
        <f>((1)/(3))</f>
        <v>0.33333333333333331</v>
      </c>
      <c r="J21" s="282"/>
      <c r="K21" s="282"/>
      <c r="L21" s="282"/>
      <c r="M21" s="282"/>
      <c r="N21" s="282"/>
      <c r="O21" s="158">
        <f>I21*$F21</f>
        <v>1.6666666666666666E-2</v>
      </c>
      <c r="P21" s="214" t="s">
        <v>182</v>
      </c>
      <c r="Q21" s="10" t="s">
        <v>43</v>
      </c>
    </row>
    <row r="22" spans="1:17" ht="66" customHeight="1" thickTop="1" thickBot="1" x14ac:dyDescent="0.35">
      <c r="A22" s="286" t="s">
        <v>47</v>
      </c>
      <c r="B22" s="302">
        <v>0.3</v>
      </c>
      <c r="C22" s="295" t="s">
        <v>48</v>
      </c>
      <c r="D22" s="275">
        <f>$B$22/2</f>
        <v>0.15</v>
      </c>
      <c r="E22" s="324" t="s">
        <v>49</v>
      </c>
      <c r="F22" s="275">
        <f>$B$22/2</f>
        <v>0.15</v>
      </c>
      <c r="G22" s="51" t="s">
        <v>50</v>
      </c>
      <c r="H22" s="6">
        <v>1</v>
      </c>
      <c r="I22" s="281">
        <v>1</v>
      </c>
      <c r="J22" s="298"/>
      <c r="K22" s="298"/>
      <c r="L22" s="298"/>
      <c r="M22" s="298"/>
      <c r="N22" s="299"/>
      <c r="O22" s="310">
        <f>I22*$F22</f>
        <v>0.15</v>
      </c>
      <c r="P22" s="458" t="s">
        <v>94</v>
      </c>
      <c r="Q22" s="324" t="s">
        <v>43</v>
      </c>
    </row>
    <row r="23" spans="1:17" ht="66" customHeight="1" thickTop="1" thickBot="1" x14ac:dyDescent="0.35">
      <c r="A23" s="345"/>
      <c r="B23" s="280"/>
      <c r="C23" s="276"/>
      <c r="D23" s="276"/>
      <c r="E23" s="276"/>
      <c r="F23" s="276"/>
      <c r="G23" s="52" t="s">
        <v>52</v>
      </c>
      <c r="H23" s="9">
        <v>0</v>
      </c>
      <c r="I23" s="276"/>
      <c r="J23" s="276"/>
      <c r="K23" s="276"/>
      <c r="L23" s="276"/>
      <c r="M23" s="276"/>
      <c r="N23" s="300"/>
      <c r="O23" s="311"/>
      <c r="P23" s="297"/>
      <c r="Q23" s="276"/>
    </row>
    <row r="24" spans="1:17" ht="82.2" customHeight="1" thickTop="1" thickBot="1" x14ac:dyDescent="0.35">
      <c r="A24" s="276"/>
      <c r="B24" s="276"/>
      <c r="C24" s="35" t="s">
        <v>53</v>
      </c>
      <c r="D24" s="6">
        <v>0.15</v>
      </c>
      <c r="E24" s="7" t="s">
        <v>54</v>
      </c>
      <c r="F24" s="6">
        <v>0.15</v>
      </c>
      <c r="G24" s="38" t="s">
        <v>55</v>
      </c>
      <c r="H24" s="6">
        <v>1</v>
      </c>
      <c r="I24" s="281">
        <v>0.1767</v>
      </c>
      <c r="J24" s="282"/>
      <c r="K24" s="282"/>
      <c r="L24" s="282"/>
      <c r="M24" s="282"/>
      <c r="N24" s="283"/>
      <c r="O24" s="147">
        <f>I24*$F24</f>
        <v>2.6504999999999997E-2</v>
      </c>
      <c r="P24" s="234" t="s">
        <v>183</v>
      </c>
      <c r="Q24" s="7" t="s">
        <v>43</v>
      </c>
    </row>
    <row r="25" spans="1:17" ht="26.7" customHeight="1" thickTop="1" x14ac:dyDescent="0.35">
      <c r="L25" s="5" t="s">
        <v>57</v>
      </c>
      <c r="M25" s="5"/>
      <c r="N25" s="5"/>
      <c r="O25" s="4">
        <f>SUM(O2:O24)</f>
        <v>0.70031900000000014</v>
      </c>
    </row>
    <row r="26" spans="1:17" ht="26.7" customHeight="1" x14ac:dyDescent="0.35"/>
  </sheetData>
  <mergeCells count="61">
    <mergeCell ref="A22:A24"/>
    <mergeCell ref="C10:C13"/>
    <mergeCell ref="I21:N21"/>
    <mergeCell ref="D2:D5"/>
    <mergeCell ref="Q6:Q8"/>
    <mergeCell ref="C20:C21"/>
    <mergeCell ref="D6:D9"/>
    <mergeCell ref="K2:K4"/>
    <mergeCell ref="L10:L12"/>
    <mergeCell ref="O2:O4"/>
    <mergeCell ref="N10:N12"/>
    <mergeCell ref="Q2:Q4"/>
    <mergeCell ref="N6:N8"/>
    <mergeCell ref="Q22:Q23"/>
    <mergeCell ref="I10:I12"/>
    <mergeCell ref="P10:P12"/>
    <mergeCell ref="Q10:Q12"/>
    <mergeCell ref="C22:C23"/>
    <mergeCell ref="K10:K12"/>
    <mergeCell ref="P22:P23"/>
    <mergeCell ref="O22:O23"/>
    <mergeCell ref="O6:O8"/>
    <mergeCell ref="I20:N20"/>
    <mergeCell ref="B22:B24"/>
    <mergeCell ref="F6:F8"/>
    <mergeCell ref="B2:B13"/>
    <mergeCell ref="C2:C5"/>
    <mergeCell ref="I22:N23"/>
    <mergeCell ref="J10:J12"/>
    <mergeCell ref="E22:E23"/>
    <mergeCell ref="D22:D23"/>
    <mergeCell ref="I24:N24"/>
    <mergeCell ref="F10:F12"/>
    <mergeCell ref="F22:F23"/>
    <mergeCell ref="I6:I8"/>
    <mergeCell ref="K6:K8"/>
    <mergeCell ref="A20:A21"/>
    <mergeCell ref="J6:J8"/>
    <mergeCell ref="M2:M4"/>
    <mergeCell ref="B20:B21"/>
    <mergeCell ref="D20:D21"/>
    <mergeCell ref="A14:A19"/>
    <mergeCell ref="C6:C9"/>
    <mergeCell ref="D10:D13"/>
    <mergeCell ref="I16:N16"/>
    <mergeCell ref="J2:J4"/>
    <mergeCell ref="L2:L4"/>
    <mergeCell ref="B14:B19"/>
    <mergeCell ref="I2:I4"/>
    <mergeCell ref="L6:L8"/>
    <mergeCell ref="E2:E4"/>
    <mergeCell ref="A2:A13"/>
    <mergeCell ref="P6:P8"/>
    <mergeCell ref="P2:P4"/>
    <mergeCell ref="E6:E8"/>
    <mergeCell ref="M10:M12"/>
    <mergeCell ref="M6:M8"/>
    <mergeCell ref="F2:F4"/>
    <mergeCell ref="E10:E12"/>
    <mergeCell ref="N2:N4"/>
    <mergeCell ref="O10:O12"/>
  </mergeCells>
  <printOptions horizontalCentered="1"/>
  <pageMargins left="0.23622047244094491" right="0.23622047244094491" top="0.74803149606299213" bottom="0.74803149606299213" header="0.31496062992125978" footer="0.31496062992125978"/>
  <pageSetup scale="42"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8">
    <tabColor theme="7" tint="0.39997558519241921"/>
  </sheetPr>
  <dimension ref="A1:Q18"/>
  <sheetViews>
    <sheetView topLeftCell="A13" zoomScale="44" zoomScaleNormal="70" zoomScaleSheetLayoutView="70" workbookViewId="0">
      <selection activeCell="A15" sqref="A15:A17"/>
    </sheetView>
  </sheetViews>
  <sheetFormatPr baseColWidth="10" defaultColWidth="11.44140625" defaultRowHeight="18" x14ac:dyDescent="0.3"/>
  <cols>
    <col min="1" max="1" width="20.6640625" style="3" customWidth="1"/>
    <col min="2" max="2" width="9.109375" customWidth="1"/>
    <col min="3" max="3" width="34" style="2" customWidth="1"/>
    <col min="4" max="4" width="12.109375" customWidth="1"/>
    <col min="5" max="5" width="40.6640625" style="1" customWidth="1"/>
    <col min="6" max="6" width="9.5546875" customWidth="1"/>
    <col min="7" max="7" width="62.5546875" style="136" customWidth="1"/>
    <col min="8" max="8" width="10.109375" style="136" customWidth="1"/>
    <col min="9" max="15" width="26.6640625" customWidth="1"/>
    <col min="16" max="16" width="171.109375" style="199" customWidth="1"/>
    <col min="17" max="30" width="53.10937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26" t="s">
        <v>16</v>
      </c>
    </row>
    <row r="2" spans="1:17" ht="46.2" customHeight="1" thickTop="1" thickBot="1" x14ac:dyDescent="0.35">
      <c r="A2" s="344" t="s">
        <v>17</v>
      </c>
      <c r="B2" s="342">
        <v>0.2</v>
      </c>
      <c r="C2" s="306" t="s">
        <v>77</v>
      </c>
      <c r="D2" s="340">
        <v>0.1</v>
      </c>
      <c r="E2" s="324" t="s">
        <v>19</v>
      </c>
      <c r="F2" s="337">
        <f>$B$2/4</f>
        <v>0.05</v>
      </c>
      <c r="G2" s="56" t="s">
        <v>20</v>
      </c>
      <c r="H2" s="116">
        <v>1</v>
      </c>
      <c r="I2" s="292"/>
      <c r="J2" s="288"/>
      <c r="K2" s="301">
        <v>0.8</v>
      </c>
      <c r="L2" s="288">
        <f>K2*$F2</f>
        <v>4.0000000000000008E-2</v>
      </c>
      <c r="M2" s="405">
        <v>1</v>
      </c>
      <c r="N2" s="288">
        <f>M2*$F2</f>
        <v>0.05</v>
      </c>
      <c r="O2" s="303">
        <f>AVERAGE(J2,L2,N2)</f>
        <v>4.5000000000000005E-2</v>
      </c>
      <c r="P2" s="347" t="s">
        <v>184</v>
      </c>
      <c r="Q2" s="324" t="s">
        <v>22</v>
      </c>
    </row>
    <row r="3" spans="1:17" ht="46.2" customHeight="1" thickTop="1" thickBot="1" x14ac:dyDescent="0.35">
      <c r="A3" s="345"/>
      <c r="B3" s="280"/>
      <c r="C3" s="307"/>
      <c r="D3" s="280"/>
      <c r="E3" s="346"/>
      <c r="F3" s="280"/>
      <c r="G3" s="56" t="s">
        <v>23</v>
      </c>
      <c r="H3" s="117">
        <v>0.8</v>
      </c>
      <c r="I3" s="293"/>
      <c r="J3" s="289"/>
      <c r="K3" s="289"/>
      <c r="L3" s="289"/>
      <c r="M3" s="289"/>
      <c r="N3" s="289"/>
      <c r="O3" s="304"/>
      <c r="P3" s="289"/>
      <c r="Q3" s="280"/>
    </row>
    <row r="4" spans="1:17" ht="46.2" customHeight="1" thickTop="1" thickBot="1" x14ac:dyDescent="0.35">
      <c r="A4" s="345"/>
      <c r="B4" s="280"/>
      <c r="C4" s="307"/>
      <c r="D4" s="280"/>
      <c r="E4" s="276"/>
      <c r="F4" s="276"/>
      <c r="G4" s="56" t="s">
        <v>24</v>
      </c>
      <c r="H4" s="63">
        <v>0</v>
      </c>
      <c r="I4" s="294"/>
      <c r="J4" s="290"/>
      <c r="K4" s="290"/>
      <c r="L4" s="290"/>
      <c r="M4" s="290"/>
      <c r="N4" s="290"/>
      <c r="O4" s="305"/>
      <c r="P4" s="290"/>
      <c r="Q4" s="276"/>
    </row>
    <row r="5" spans="1:17" ht="174" customHeight="1" thickTop="1" thickBot="1" x14ac:dyDescent="0.35">
      <c r="A5" s="345"/>
      <c r="B5" s="280"/>
      <c r="C5" s="276"/>
      <c r="D5" s="276"/>
      <c r="E5" s="10" t="s">
        <v>25</v>
      </c>
      <c r="F5" s="60">
        <f>$B$2/4</f>
        <v>0.05</v>
      </c>
      <c r="G5" s="38" t="s">
        <v>26</v>
      </c>
      <c r="H5" s="63" t="s">
        <v>27</v>
      </c>
      <c r="I5" s="138"/>
      <c r="J5" s="139"/>
      <c r="K5" s="140">
        <v>1</v>
      </c>
      <c r="L5" s="139">
        <f>K5*$F5</f>
        <v>0.05</v>
      </c>
      <c r="M5" s="141">
        <v>1</v>
      </c>
      <c r="N5" s="139">
        <f>M5*$F5</f>
        <v>0.05</v>
      </c>
      <c r="O5" s="142">
        <f>AVERAGE(J5,L5,N5)</f>
        <v>0.05</v>
      </c>
      <c r="P5" s="200" t="s">
        <v>185</v>
      </c>
      <c r="Q5" s="10" t="s">
        <v>22</v>
      </c>
    </row>
    <row r="6" spans="1:17" ht="33.6" customHeight="1" thickTop="1" thickBot="1" x14ac:dyDescent="0.35">
      <c r="A6" s="345"/>
      <c r="B6" s="280"/>
      <c r="C6" s="306" t="s">
        <v>18</v>
      </c>
      <c r="D6" s="340">
        <v>0.1</v>
      </c>
      <c r="E6" s="324" t="s">
        <v>19</v>
      </c>
      <c r="F6" s="337">
        <f>$B$2/4</f>
        <v>0.05</v>
      </c>
      <c r="G6" s="56" t="s">
        <v>20</v>
      </c>
      <c r="H6" s="116">
        <v>1</v>
      </c>
      <c r="I6" s="292">
        <v>1</v>
      </c>
      <c r="J6" s="288">
        <f>I6*$F6</f>
        <v>0.05</v>
      </c>
      <c r="K6" s="292">
        <v>1</v>
      </c>
      <c r="L6" s="288">
        <f>K6*$F6</f>
        <v>0.05</v>
      </c>
      <c r="M6" s="292">
        <v>1</v>
      </c>
      <c r="N6" s="288">
        <f>M6*$F6</f>
        <v>0.05</v>
      </c>
      <c r="O6" s="303">
        <f>AVERAGE(J6,L6,N6)</f>
        <v>5.000000000000001E-2</v>
      </c>
      <c r="P6" s="347" t="s">
        <v>21</v>
      </c>
      <c r="Q6" s="324" t="s">
        <v>22</v>
      </c>
    </row>
    <row r="7" spans="1:17" ht="33.6" customHeight="1" thickTop="1" thickBot="1" x14ac:dyDescent="0.35">
      <c r="A7" s="345"/>
      <c r="B7" s="280"/>
      <c r="C7" s="307"/>
      <c r="D7" s="280"/>
      <c r="E7" s="346"/>
      <c r="F7" s="280"/>
      <c r="G7" s="56" t="s">
        <v>23</v>
      </c>
      <c r="H7" s="117">
        <v>0.8</v>
      </c>
      <c r="I7" s="293"/>
      <c r="J7" s="289"/>
      <c r="K7" s="293"/>
      <c r="L7" s="289"/>
      <c r="M7" s="293"/>
      <c r="N7" s="289"/>
      <c r="O7" s="304"/>
      <c r="P7" s="289"/>
      <c r="Q7" s="280"/>
    </row>
    <row r="8" spans="1:17" ht="60" customHeight="1" thickTop="1" thickBot="1" x14ac:dyDescent="0.35">
      <c r="A8" s="345"/>
      <c r="B8" s="280"/>
      <c r="C8" s="307"/>
      <c r="D8" s="280"/>
      <c r="E8" s="276"/>
      <c r="F8" s="276"/>
      <c r="G8" s="56" t="s">
        <v>24</v>
      </c>
      <c r="H8" s="63">
        <v>0.5</v>
      </c>
      <c r="I8" s="294"/>
      <c r="J8" s="290"/>
      <c r="K8" s="294"/>
      <c r="L8" s="290"/>
      <c r="M8" s="294"/>
      <c r="N8" s="290"/>
      <c r="O8" s="305"/>
      <c r="P8" s="290"/>
      <c r="Q8" s="276"/>
    </row>
    <row r="9" spans="1:17" ht="141" customHeight="1" thickTop="1" thickBot="1" x14ac:dyDescent="0.35">
      <c r="A9" s="276"/>
      <c r="B9" s="276"/>
      <c r="C9" s="276"/>
      <c r="D9" s="276"/>
      <c r="E9" s="10" t="s">
        <v>25</v>
      </c>
      <c r="F9" s="60">
        <f>$B$2/4</f>
        <v>0.05</v>
      </c>
      <c r="G9" s="38" t="s">
        <v>26</v>
      </c>
      <c r="H9" s="63" t="s">
        <v>27</v>
      </c>
      <c r="I9" s="120">
        <v>1</v>
      </c>
      <c r="J9" s="177">
        <f>I9*$F9</f>
        <v>0.05</v>
      </c>
      <c r="K9" s="166">
        <v>1</v>
      </c>
      <c r="L9" s="139">
        <f>K9*$F9</f>
        <v>0.05</v>
      </c>
      <c r="M9" s="166">
        <v>1</v>
      </c>
      <c r="N9" s="139">
        <f>M9*$F9</f>
        <v>0.05</v>
      </c>
      <c r="O9" s="142">
        <f>AVERAGE(J9,L9,N9)</f>
        <v>5.000000000000001E-2</v>
      </c>
      <c r="P9" s="201" t="s">
        <v>98</v>
      </c>
      <c r="Q9" s="10" t="s">
        <v>22</v>
      </c>
    </row>
    <row r="10" spans="1:17" ht="136.19999999999999" customHeight="1" thickTop="1" thickBot="1" x14ac:dyDescent="0.35">
      <c r="A10" s="344" t="s">
        <v>29</v>
      </c>
      <c r="B10" s="342">
        <v>0.25</v>
      </c>
      <c r="C10" s="64" t="s">
        <v>77</v>
      </c>
      <c r="D10" s="65">
        <v>0.2</v>
      </c>
      <c r="E10" s="8" t="s">
        <v>81</v>
      </c>
      <c r="F10" s="65">
        <v>0.2</v>
      </c>
      <c r="G10" s="66" t="s">
        <v>82</v>
      </c>
      <c r="H10" s="67" t="s">
        <v>27</v>
      </c>
      <c r="I10" s="163"/>
      <c r="J10" s="144"/>
      <c r="K10" s="131">
        <v>0.9</v>
      </c>
      <c r="L10" s="144">
        <f>K10*$F10</f>
        <v>0.18000000000000002</v>
      </c>
      <c r="M10" s="131">
        <v>1</v>
      </c>
      <c r="N10" s="144">
        <f>M10*$F10</f>
        <v>0.2</v>
      </c>
      <c r="O10" s="147">
        <f>IFERROR(AVERAGE(J10,L10,N10),"")</f>
        <v>0.19</v>
      </c>
      <c r="P10" s="202" t="s">
        <v>186</v>
      </c>
      <c r="Q10" s="8" t="s">
        <v>22</v>
      </c>
    </row>
    <row r="11" spans="1:17" ht="111" customHeight="1" thickTop="1" thickBot="1" x14ac:dyDescent="0.35">
      <c r="A11" s="345"/>
      <c r="B11" s="280"/>
      <c r="C11" s="64" t="s">
        <v>30</v>
      </c>
      <c r="D11" s="65">
        <v>0.03</v>
      </c>
      <c r="E11" s="8" t="s">
        <v>31</v>
      </c>
      <c r="F11" s="65">
        <v>0.03</v>
      </c>
      <c r="G11" s="66" t="s">
        <v>32</v>
      </c>
      <c r="H11" s="67" t="s">
        <v>27</v>
      </c>
      <c r="I11" s="131">
        <v>1</v>
      </c>
      <c r="J11" s="144">
        <f>I11*$F11</f>
        <v>0.03</v>
      </c>
      <c r="K11" s="134">
        <v>1</v>
      </c>
      <c r="L11" s="144">
        <f>K11*$F11</f>
        <v>0.03</v>
      </c>
      <c r="M11" s="134">
        <v>1</v>
      </c>
      <c r="N11" s="144">
        <f>M11*$F11</f>
        <v>0.03</v>
      </c>
      <c r="O11" s="147">
        <f>AVERAGE(J11,L11,N11)</f>
        <v>0.03</v>
      </c>
      <c r="P11" s="203" t="s">
        <v>144</v>
      </c>
      <c r="Q11" s="8" t="s">
        <v>22</v>
      </c>
    </row>
    <row r="12" spans="1:17" ht="127.5" customHeight="1" thickTop="1" thickBot="1" x14ac:dyDescent="0.35">
      <c r="A12" s="276"/>
      <c r="B12" s="276"/>
      <c r="C12" s="71" t="s">
        <v>34</v>
      </c>
      <c r="D12" s="58">
        <v>0.02</v>
      </c>
      <c r="E12" s="16" t="s">
        <v>35</v>
      </c>
      <c r="F12" s="58">
        <v>0.02</v>
      </c>
      <c r="G12" s="72" t="s">
        <v>36</v>
      </c>
      <c r="H12" s="73" t="s">
        <v>27</v>
      </c>
      <c r="I12" s="143">
        <v>0.33329999999999999</v>
      </c>
      <c r="J12" s="144">
        <f>I12*$F12</f>
        <v>6.6660000000000001E-3</v>
      </c>
      <c r="K12" s="143">
        <v>0.33329999999999999</v>
      </c>
      <c r="L12" s="144">
        <f>K12*$F12</f>
        <v>6.6660000000000001E-3</v>
      </c>
      <c r="M12" s="134">
        <v>1</v>
      </c>
      <c r="N12" s="144">
        <f>M12*$F12</f>
        <v>0.02</v>
      </c>
      <c r="O12" s="147">
        <f>AVERAGE(J12,L12,N12)</f>
        <v>1.1110666666666666E-2</v>
      </c>
      <c r="P12" s="203" t="s">
        <v>187</v>
      </c>
      <c r="Q12" s="16" t="s">
        <v>22</v>
      </c>
    </row>
    <row r="13" spans="1:17" ht="297.60000000000002" customHeight="1" thickTop="1" thickBot="1" x14ac:dyDescent="0.35">
      <c r="A13" s="344" t="s">
        <v>38</v>
      </c>
      <c r="B13" s="342">
        <v>0.25</v>
      </c>
      <c r="C13" s="295" t="s">
        <v>39</v>
      </c>
      <c r="D13" s="350">
        <f>B13</f>
        <v>0.25</v>
      </c>
      <c r="E13" s="8" t="s">
        <v>40</v>
      </c>
      <c r="F13" s="75">
        <f>D13*0.8</f>
        <v>0.2</v>
      </c>
      <c r="G13" s="66" t="s">
        <v>41</v>
      </c>
      <c r="H13" s="76" t="s">
        <v>27</v>
      </c>
      <c r="I13" s="291">
        <f>((1)/(19))</f>
        <v>5.2631578947368418E-2</v>
      </c>
      <c r="J13" s="282"/>
      <c r="K13" s="282"/>
      <c r="L13" s="282"/>
      <c r="M13" s="282"/>
      <c r="N13" s="282"/>
      <c r="O13" s="158">
        <f>I13*$F13</f>
        <v>1.0526315789473684E-2</v>
      </c>
      <c r="P13" s="459" t="s">
        <v>188</v>
      </c>
      <c r="Q13" s="8" t="s">
        <v>43</v>
      </c>
    </row>
    <row r="14" spans="1:17" ht="297.60000000000002" customHeight="1" thickTop="1" thickBot="1" x14ac:dyDescent="0.35">
      <c r="A14" s="276"/>
      <c r="B14" s="276"/>
      <c r="C14" s="276"/>
      <c r="D14" s="276"/>
      <c r="E14" s="10" t="s">
        <v>44</v>
      </c>
      <c r="F14" s="78">
        <f>D13*0.2</f>
        <v>0.05</v>
      </c>
      <c r="G14" s="69" t="s">
        <v>45</v>
      </c>
      <c r="H14" s="77" t="s">
        <v>27</v>
      </c>
      <c r="I14" s="291">
        <v>1.2500000000000001E-2</v>
      </c>
      <c r="J14" s="282"/>
      <c r="K14" s="282"/>
      <c r="L14" s="282"/>
      <c r="M14" s="282"/>
      <c r="N14" s="282"/>
      <c r="O14" s="158">
        <f>I14*$F14</f>
        <v>6.2500000000000012E-4</v>
      </c>
      <c r="P14" s="276"/>
      <c r="Q14" s="10" t="s">
        <v>43</v>
      </c>
    </row>
    <row r="15" spans="1:17" ht="66" customHeight="1" thickTop="1" x14ac:dyDescent="0.3">
      <c r="A15" s="344" t="s">
        <v>47</v>
      </c>
      <c r="B15" s="342">
        <v>0.3</v>
      </c>
      <c r="C15" s="295" t="s">
        <v>48</v>
      </c>
      <c r="D15" s="350">
        <f>$B$15/2</f>
        <v>0.15</v>
      </c>
      <c r="E15" s="324" t="s">
        <v>49</v>
      </c>
      <c r="F15" s="350">
        <f>$B$15/2</f>
        <v>0.15</v>
      </c>
      <c r="G15" s="79" t="s">
        <v>50</v>
      </c>
      <c r="H15" s="74">
        <v>1</v>
      </c>
      <c r="I15" s="281">
        <v>0</v>
      </c>
      <c r="J15" s="298"/>
      <c r="K15" s="298"/>
      <c r="L15" s="298"/>
      <c r="M15" s="298"/>
      <c r="N15" s="299"/>
      <c r="O15" s="310">
        <f>I15*$F15</f>
        <v>0</v>
      </c>
      <c r="P15" s="333" t="s">
        <v>94</v>
      </c>
      <c r="Q15" s="324" t="s">
        <v>43</v>
      </c>
    </row>
    <row r="16" spans="1:17" ht="66" customHeight="1" thickBot="1" x14ac:dyDescent="0.35">
      <c r="A16" s="345"/>
      <c r="B16" s="280"/>
      <c r="C16" s="276"/>
      <c r="D16" s="276"/>
      <c r="E16" s="276"/>
      <c r="F16" s="276"/>
      <c r="G16" s="80" t="s">
        <v>52</v>
      </c>
      <c r="H16" s="77">
        <v>0</v>
      </c>
      <c r="I16" s="276"/>
      <c r="J16" s="276"/>
      <c r="K16" s="276"/>
      <c r="L16" s="276"/>
      <c r="M16" s="276"/>
      <c r="N16" s="300"/>
      <c r="O16" s="311"/>
      <c r="P16" s="276"/>
      <c r="Q16" s="276"/>
    </row>
    <row r="17" spans="1:17" ht="130.5" customHeight="1" thickTop="1" thickBot="1" x14ac:dyDescent="0.35">
      <c r="A17" s="276"/>
      <c r="B17" s="276"/>
      <c r="C17" s="35" t="s">
        <v>53</v>
      </c>
      <c r="D17" s="76">
        <v>0.15</v>
      </c>
      <c r="E17" s="7" t="s">
        <v>54</v>
      </c>
      <c r="F17" s="76">
        <v>0.15</v>
      </c>
      <c r="G17" s="66" t="s">
        <v>55</v>
      </c>
      <c r="H17" s="76">
        <v>1</v>
      </c>
      <c r="I17" s="281">
        <v>0.45450000000000002</v>
      </c>
      <c r="J17" s="282"/>
      <c r="K17" s="282"/>
      <c r="L17" s="282"/>
      <c r="M17" s="282"/>
      <c r="N17" s="283"/>
      <c r="O17" s="147">
        <f>I17*$F17</f>
        <v>6.8174999999999999E-2</v>
      </c>
      <c r="P17" s="211" t="s">
        <v>189</v>
      </c>
      <c r="Q17" s="7" t="s">
        <v>43</v>
      </c>
    </row>
    <row r="18" spans="1:17" ht="26.7" customHeight="1" thickTop="1" x14ac:dyDescent="0.3">
      <c r="L18" s="5" t="s">
        <v>57</v>
      </c>
      <c r="M18" s="5"/>
      <c r="N18" s="5"/>
      <c r="O18" s="4">
        <f>SUM(O2:O17)</f>
        <v>0.50543698245614033</v>
      </c>
    </row>
  </sheetData>
  <mergeCells count="48">
    <mergeCell ref="Q6:Q8"/>
    <mergeCell ref="K2:K4"/>
    <mergeCell ref="D6:D9"/>
    <mergeCell ref="B15:B17"/>
    <mergeCell ref="O2:O4"/>
    <mergeCell ref="N6:N8"/>
    <mergeCell ref="Q2:Q4"/>
    <mergeCell ref="D2:D5"/>
    <mergeCell ref="I6:I8"/>
    <mergeCell ref="I15:N16"/>
    <mergeCell ref="K6:K8"/>
    <mergeCell ref="L6:L8"/>
    <mergeCell ref="B13:B14"/>
    <mergeCell ref="Q15:Q16"/>
    <mergeCell ref="O6:O8"/>
    <mergeCell ref="I17:N17"/>
    <mergeCell ref="E15:E16"/>
    <mergeCell ref="L2:L4"/>
    <mergeCell ref="A15:A17"/>
    <mergeCell ref="B2:B9"/>
    <mergeCell ref="F6:F8"/>
    <mergeCell ref="I2:I4"/>
    <mergeCell ref="D15:D16"/>
    <mergeCell ref="F15:F16"/>
    <mergeCell ref="A13:A14"/>
    <mergeCell ref="I13:N13"/>
    <mergeCell ref="C2:C5"/>
    <mergeCell ref="P6:P8"/>
    <mergeCell ref="J6:J8"/>
    <mergeCell ref="M2:M4"/>
    <mergeCell ref="A2:A9"/>
    <mergeCell ref="B10:B12"/>
    <mergeCell ref="A10:A12"/>
    <mergeCell ref="D13:D14"/>
    <mergeCell ref="I14:N14"/>
    <mergeCell ref="J2:J4"/>
    <mergeCell ref="P15:P16"/>
    <mergeCell ref="P2:P4"/>
    <mergeCell ref="E6:E8"/>
    <mergeCell ref="C13:C14"/>
    <mergeCell ref="M6:M8"/>
    <mergeCell ref="F2:F4"/>
    <mergeCell ref="N2:N4"/>
    <mergeCell ref="C15:C16"/>
    <mergeCell ref="C6:C9"/>
    <mergeCell ref="O15:O16"/>
    <mergeCell ref="E2:E4"/>
    <mergeCell ref="P13:P14"/>
  </mergeCells>
  <printOptions horizontalCentered="1"/>
  <pageMargins left="0.23622047244094491" right="0.23622047244094491" top="0.74803149606299213" bottom="0.74803149606299213" header="0.31496062992125978" footer="0.31496062992125978"/>
  <pageSetup scale="41"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tabColor theme="4" tint="0.79998168889431442"/>
  </sheetPr>
  <dimension ref="A1:Q14"/>
  <sheetViews>
    <sheetView topLeftCell="A9" zoomScale="52" zoomScaleNormal="52" workbookViewId="0">
      <selection activeCell="A6" sqref="A6:A8"/>
    </sheetView>
  </sheetViews>
  <sheetFormatPr baseColWidth="10" defaultColWidth="11.44140625" defaultRowHeight="18" x14ac:dyDescent="0.3"/>
  <cols>
    <col min="1" max="1" width="20.6640625" style="3" customWidth="1"/>
    <col min="2" max="2" width="9.109375" customWidth="1"/>
    <col min="3" max="3" width="19.6640625" style="2" customWidth="1"/>
    <col min="4" max="4" width="13.6640625" customWidth="1"/>
    <col min="5" max="5" width="40.6640625" style="1" customWidth="1"/>
    <col min="6" max="6" width="13.33203125" customWidth="1"/>
    <col min="7" max="7" width="51.109375" style="2" customWidth="1"/>
    <col min="8" max="8" width="10.109375" customWidth="1"/>
    <col min="9" max="15" width="19.33203125" customWidth="1"/>
    <col min="16" max="16" width="107.44140625" style="199" customWidth="1"/>
    <col min="17" max="19" width="34.664062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121" t="s">
        <v>16</v>
      </c>
    </row>
    <row r="2" spans="1:17" ht="18.600000000000001" customHeight="1" thickTop="1" thickBot="1" x14ac:dyDescent="0.35">
      <c r="A2" s="388" t="s">
        <v>17</v>
      </c>
      <c r="B2" s="463">
        <v>0.2</v>
      </c>
      <c r="C2" s="306" t="s">
        <v>18</v>
      </c>
      <c r="D2" s="285">
        <f>B2</f>
        <v>0.2</v>
      </c>
      <c r="E2" s="319" t="s">
        <v>19</v>
      </c>
      <c r="F2" s="462">
        <f>D2/2</f>
        <v>0.1</v>
      </c>
      <c r="G2" s="30" t="s">
        <v>20</v>
      </c>
      <c r="H2" s="25">
        <v>1</v>
      </c>
      <c r="I2" s="292">
        <v>1</v>
      </c>
      <c r="J2" s="288">
        <f>I2*$F2</f>
        <v>0.1</v>
      </c>
      <c r="K2" s="301">
        <v>1</v>
      </c>
      <c r="L2" s="288">
        <f>K2*$F2</f>
        <v>0.1</v>
      </c>
      <c r="M2" s="308">
        <v>1</v>
      </c>
      <c r="N2" s="288">
        <f>M2*$F2</f>
        <v>0.1</v>
      </c>
      <c r="O2" s="303">
        <f>AVERAGE(J2,L2,N2)</f>
        <v>0.10000000000000002</v>
      </c>
      <c r="P2" s="347" t="s">
        <v>21</v>
      </c>
      <c r="Q2" s="319" t="s">
        <v>22</v>
      </c>
    </row>
    <row r="3" spans="1:17" ht="18.600000000000001" customHeight="1" thickTop="1" thickBot="1" x14ac:dyDescent="0.35">
      <c r="A3" s="345"/>
      <c r="B3" s="280"/>
      <c r="C3" s="307"/>
      <c r="D3" s="280"/>
      <c r="E3" s="346"/>
      <c r="F3" s="280"/>
      <c r="G3" s="30" t="s">
        <v>23</v>
      </c>
      <c r="H3" s="24">
        <v>0.8</v>
      </c>
      <c r="I3" s="293"/>
      <c r="J3" s="289"/>
      <c r="K3" s="289"/>
      <c r="L3" s="289"/>
      <c r="M3" s="289"/>
      <c r="N3" s="289"/>
      <c r="O3" s="304"/>
      <c r="P3" s="289"/>
      <c r="Q3" s="280"/>
    </row>
    <row r="4" spans="1:17" ht="25.5" customHeight="1" thickTop="1" thickBot="1" x14ac:dyDescent="0.35">
      <c r="A4" s="345"/>
      <c r="B4" s="280"/>
      <c r="C4" s="307"/>
      <c r="D4" s="280"/>
      <c r="E4" s="346"/>
      <c r="F4" s="280"/>
      <c r="G4" s="30" t="s">
        <v>24</v>
      </c>
      <c r="H4" s="23">
        <v>0.5</v>
      </c>
      <c r="I4" s="294"/>
      <c r="J4" s="290"/>
      <c r="K4" s="290"/>
      <c r="L4" s="290"/>
      <c r="M4" s="290"/>
      <c r="N4" s="290"/>
      <c r="O4" s="305"/>
      <c r="P4" s="290"/>
      <c r="Q4" s="280"/>
    </row>
    <row r="5" spans="1:17" ht="124.2" customHeight="1" thickTop="1" thickBot="1" x14ac:dyDescent="0.35">
      <c r="A5" s="276"/>
      <c r="B5" s="276"/>
      <c r="C5" s="276"/>
      <c r="D5" s="276"/>
      <c r="E5" s="10" t="s">
        <v>25</v>
      </c>
      <c r="F5" s="22">
        <f>D2/2</f>
        <v>0.1</v>
      </c>
      <c r="G5" s="38" t="s">
        <v>26</v>
      </c>
      <c r="H5" s="21" t="s">
        <v>27</v>
      </c>
      <c r="I5" s="138">
        <v>1</v>
      </c>
      <c r="J5" s="139">
        <f>I5*$F5</f>
        <v>0.1</v>
      </c>
      <c r="K5" s="138">
        <v>1</v>
      </c>
      <c r="L5" s="139">
        <f>K5*$F5</f>
        <v>0.1</v>
      </c>
      <c r="M5" s="138">
        <v>1</v>
      </c>
      <c r="N5" s="139">
        <f>M5*$F5</f>
        <v>0.1</v>
      </c>
      <c r="O5" s="142">
        <f>AVERAGE(J5,L5,N5)</f>
        <v>0.10000000000000002</v>
      </c>
      <c r="P5" s="201" t="s">
        <v>98</v>
      </c>
      <c r="Q5" s="10" t="s">
        <v>22</v>
      </c>
    </row>
    <row r="6" spans="1:17" ht="303" customHeight="1" thickTop="1" thickBot="1" x14ac:dyDescent="0.35">
      <c r="A6" s="286" t="s">
        <v>29</v>
      </c>
      <c r="B6" s="302">
        <v>0.25</v>
      </c>
      <c r="C6" s="28" t="s">
        <v>84</v>
      </c>
      <c r="D6" s="18">
        <v>0.2</v>
      </c>
      <c r="E6" s="8" t="s">
        <v>85</v>
      </c>
      <c r="F6" s="18">
        <f>D6</f>
        <v>0.2</v>
      </c>
      <c r="G6" s="30" t="s">
        <v>190</v>
      </c>
      <c r="H6" s="17" t="s">
        <v>27</v>
      </c>
      <c r="I6" s="281">
        <v>0.22500000000000001</v>
      </c>
      <c r="J6" s="282"/>
      <c r="K6" s="282"/>
      <c r="L6" s="282"/>
      <c r="M6" s="282"/>
      <c r="N6" s="283"/>
      <c r="O6" s="147">
        <f>D6*I6</f>
        <v>4.5000000000000005E-2</v>
      </c>
      <c r="P6" s="238" t="s">
        <v>128</v>
      </c>
      <c r="Q6" s="8" t="s">
        <v>43</v>
      </c>
    </row>
    <row r="7" spans="1:17" s="115" customFormat="1" ht="91.95" customHeight="1" thickTop="1" thickBot="1" x14ac:dyDescent="0.35">
      <c r="A7" s="461"/>
      <c r="B7" s="461"/>
      <c r="C7" s="28" t="s">
        <v>30</v>
      </c>
      <c r="D7" s="18">
        <v>0.03</v>
      </c>
      <c r="E7" s="8" t="s">
        <v>31</v>
      </c>
      <c r="F7" s="18">
        <f>D7</f>
        <v>0.03</v>
      </c>
      <c r="G7" s="30" t="s">
        <v>32</v>
      </c>
      <c r="H7" s="17" t="s">
        <v>27</v>
      </c>
      <c r="I7" s="138">
        <v>1</v>
      </c>
      <c r="J7" s="144">
        <f>I7*$F7</f>
        <v>0.03</v>
      </c>
      <c r="K7" s="138">
        <v>1</v>
      </c>
      <c r="L7" s="144">
        <f>K7*$F7</f>
        <v>0.03</v>
      </c>
      <c r="M7" s="138">
        <v>1</v>
      </c>
      <c r="N7" s="144">
        <f>M7*$F7</f>
        <v>0.03</v>
      </c>
      <c r="O7" s="147">
        <f>AVERAGE(J7,L7,N7)</f>
        <v>0.03</v>
      </c>
      <c r="P7" s="203" t="s">
        <v>33</v>
      </c>
      <c r="Q7" s="8" t="s">
        <v>22</v>
      </c>
    </row>
    <row r="8" spans="1:17" ht="91.95" customHeight="1" thickTop="1" thickBot="1" x14ac:dyDescent="0.35">
      <c r="A8" s="276"/>
      <c r="B8" s="276"/>
      <c r="C8" s="29" t="s">
        <v>34</v>
      </c>
      <c r="D8" s="15">
        <v>0.02</v>
      </c>
      <c r="E8" s="16" t="s">
        <v>35</v>
      </c>
      <c r="F8" s="18">
        <f>D8</f>
        <v>0.02</v>
      </c>
      <c r="G8" s="33" t="s">
        <v>36</v>
      </c>
      <c r="H8" s="2" t="s">
        <v>27</v>
      </c>
      <c r="I8" s="138">
        <v>1</v>
      </c>
      <c r="J8" s="144">
        <f>I8*$F8</f>
        <v>0.02</v>
      </c>
      <c r="K8" s="138">
        <v>1</v>
      </c>
      <c r="L8" s="144">
        <f>K8*$F8</f>
        <v>0.02</v>
      </c>
      <c r="M8" s="138">
        <v>1</v>
      </c>
      <c r="N8" s="144">
        <f>M8*$F8</f>
        <v>0.02</v>
      </c>
      <c r="O8" s="147">
        <f>AVERAGE(J8,L8,N8)</f>
        <v>0.02</v>
      </c>
      <c r="P8" s="239" t="s">
        <v>191</v>
      </c>
      <c r="Q8" s="16" t="s">
        <v>22</v>
      </c>
    </row>
    <row r="9" spans="1:17" ht="211.95" customHeight="1" thickTop="1" thickBot="1" x14ac:dyDescent="0.35">
      <c r="A9" s="286" t="s">
        <v>38</v>
      </c>
      <c r="B9" s="302">
        <v>0.25</v>
      </c>
      <c r="C9" s="295" t="s">
        <v>39</v>
      </c>
      <c r="D9" s="275">
        <f>B9</f>
        <v>0.25</v>
      </c>
      <c r="E9" s="12" t="s">
        <v>40</v>
      </c>
      <c r="F9" s="14">
        <f>D9*0.8</f>
        <v>0.2</v>
      </c>
      <c r="G9" s="30" t="s">
        <v>41</v>
      </c>
      <c r="H9" s="11" t="s">
        <v>27</v>
      </c>
      <c r="I9" s="460">
        <v>0</v>
      </c>
      <c r="J9" s="282"/>
      <c r="K9" s="282"/>
      <c r="L9" s="282"/>
      <c r="M9" s="282"/>
      <c r="N9" s="282"/>
      <c r="O9" s="158">
        <f>I9*$F9</f>
        <v>0</v>
      </c>
      <c r="P9" s="465" t="s">
        <v>192</v>
      </c>
      <c r="Q9" s="12" t="s">
        <v>43</v>
      </c>
    </row>
    <row r="10" spans="1:17" ht="211.95" customHeight="1" thickTop="1" thickBot="1" x14ac:dyDescent="0.35">
      <c r="A10" s="276"/>
      <c r="B10" s="276"/>
      <c r="C10" s="276"/>
      <c r="D10" s="276"/>
      <c r="E10" s="10" t="s">
        <v>44</v>
      </c>
      <c r="F10" s="13">
        <f>D9*0.2</f>
        <v>0.05</v>
      </c>
      <c r="G10" s="32" t="s">
        <v>45</v>
      </c>
      <c r="H10" s="9" t="s">
        <v>27</v>
      </c>
      <c r="I10" s="291">
        <v>0</v>
      </c>
      <c r="J10" s="282"/>
      <c r="K10" s="282"/>
      <c r="L10" s="282"/>
      <c r="M10" s="282"/>
      <c r="N10" s="282"/>
      <c r="O10" s="158">
        <f>I10*$F10</f>
        <v>0</v>
      </c>
      <c r="P10" s="276"/>
      <c r="Q10" s="10" t="s">
        <v>43</v>
      </c>
    </row>
    <row r="11" spans="1:17" ht="84" customHeight="1" thickTop="1" x14ac:dyDescent="0.3">
      <c r="A11" s="286" t="s">
        <v>47</v>
      </c>
      <c r="B11" s="302">
        <v>0.3</v>
      </c>
      <c r="C11" s="295" t="s">
        <v>48</v>
      </c>
      <c r="D11" s="275">
        <f>$B$11/2</f>
        <v>0.15</v>
      </c>
      <c r="E11" s="324" t="s">
        <v>49</v>
      </c>
      <c r="F11" s="275">
        <f>$B$11/2</f>
        <v>0.15</v>
      </c>
      <c r="G11" s="36" t="s">
        <v>50</v>
      </c>
      <c r="H11" s="11">
        <v>1</v>
      </c>
      <c r="I11" s="281">
        <v>0</v>
      </c>
      <c r="J11" s="298"/>
      <c r="K11" s="298"/>
      <c r="L11" s="298"/>
      <c r="M11" s="298"/>
      <c r="N11" s="299"/>
      <c r="O11" s="310">
        <f>I11*$F11</f>
        <v>0</v>
      </c>
      <c r="P11" s="464" t="s">
        <v>51</v>
      </c>
      <c r="Q11" s="324" t="s">
        <v>43</v>
      </c>
    </row>
    <row r="12" spans="1:17" ht="84" customHeight="1" thickBot="1" x14ac:dyDescent="0.35">
      <c r="A12" s="345"/>
      <c r="B12" s="280"/>
      <c r="C12" s="276"/>
      <c r="D12" s="276"/>
      <c r="E12" s="276"/>
      <c r="F12" s="276"/>
      <c r="G12" s="37" t="s">
        <v>52</v>
      </c>
      <c r="H12" s="9">
        <v>0</v>
      </c>
      <c r="I12" s="276"/>
      <c r="J12" s="276"/>
      <c r="K12" s="276"/>
      <c r="L12" s="276"/>
      <c r="M12" s="276"/>
      <c r="N12" s="300"/>
      <c r="O12" s="311"/>
      <c r="P12" s="276"/>
      <c r="Q12" s="276"/>
    </row>
    <row r="13" spans="1:17" ht="84" customHeight="1" thickTop="1" thickBot="1" x14ac:dyDescent="0.35">
      <c r="A13" s="276"/>
      <c r="B13" s="276"/>
      <c r="C13" s="35" t="s">
        <v>53</v>
      </c>
      <c r="D13" s="6">
        <v>0.15</v>
      </c>
      <c r="E13" s="7" t="s">
        <v>54</v>
      </c>
      <c r="F13" s="6">
        <v>0.15</v>
      </c>
      <c r="G13" s="30" t="s">
        <v>55</v>
      </c>
      <c r="H13" s="6">
        <v>1</v>
      </c>
      <c r="I13" s="281">
        <v>0.25</v>
      </c>
      <c r="J13" s="282"/>
      <c r="K13" s="282"/>
      <c r="L13" s="282"/>
      <c r="M13" s="282"/>
      <c r="N13" s="283"/>
      <c r="O13" s="147">
        <f>I13*$F13</f>
        <v>3.7499999999999999E-2</v>
      </c>
      <c r="P13" s="211" t="s">
        <v>193</v>
      </c>
      <c r="Q13" s="7" t="s">
        <v>43</v>
      </c>
    </row>
    <row r="14" spans="1:17" ht="26.7" customHeight="1" thickTop="1" x14ac:dyDescent="0.3">
      <c r="L14" s="5" t="s">
        <v>57</v>
      </c>
      <c r="M14" s="5"/>
      <c r="N14" s="5"/>
      <c r="O14" s="4">
        <f>SUM(O2:O13)</f>
        <v>0.33250000000000002</v>
      </c>
    </row>
  </sheetData>
  <mergeCells count="36">
    <mergeCell ref="O2:O4"/>
    <mergeCell ref="D11:D12"/>
    <mergeCell ref="Q2:Q4"/>
    <mergeCell ref="Q11:Q12"/>
    <mergeCell ref="B2:B5"/>
    <mergeCell ref="D2:D5"/>
    <mergeCell ref="P11:P12"/>
    <mergeCell ref="C9:C10"/>
    <mergeCell ref="I11:N12"/>
    <mergeCell ref="J2:J4"/>
    <mergeCell ref="L2:L4"/>
    <mergeCell ref="C11:C12"/>
    <mergeCell ref="E11:E12"/>
    <mergeCell ref="I2:I4"/>
    <mergeCell ref="B9:B10"/>
    <mergeCell ref="D9:D10"/>
    <mergeCell ref="I10:N10"/>
    <mergeCell ref="P2:P4"/>
    <mergeCell ref="P9:P10"/>
    <mergeCell ref="K2:K4"/>
    <mergeCell ref="A2:A5"/>
    <mergeCell ref="I13:N13"/>
    <mergeCell ref="O11:O12"/>
    <mergeCell ref="C2:C5"/>
    <mergeCell ref="A11:A13"/>
    <mergeCell ref="I9:N9"/>
    <mergeCell ref="B11:B13"/>
    <mergeCell ref="M2:M4"/>
    <mergeCell ref="A6:A8"/>
    <mergeCell ref="F11:F12"/>
    <mergeCell ref="I6:N6"/>
    <mergeCell ref="A9:A10"/>
    <mergeCell ref="F2:F4"/>
    <mergeCell ref="N2:N4"/>
    <mergeCell ref="B6:B8"/>
    <mergeCell ref="E2:E4"/>
  </mergeCells>
  <printOptions horizontalCentered="1"/>
  <pageMargins left="0.23622047244094491" right="0.23622047244094491" top="0.74803149606299213" bottom="0.74803149606299213" header="0.31496062992125978" footer="0.31496062992125978"/>
  <pageSetup scale="45"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tabColor theme="7" tint="0.39997558519241921"/>
  </sheetPr>
  <dimension ref="A1:Q13"/>
  <sheetViews>
    <sheetView tabSelected="1" zoomScale="60" zoomScaleNormal="60" zoomScaleSheetLayoutView="55" workbookViewId="0">
      <selection activeCell="I8" sqref="I8:N8"/>
    </sheetView>
  </sheetViews>
  <sheetFormatPr baseColWidth="10" defaultColWidth="11.44140625" defaultRowHeight="18" x14ac:dyDescent="0.35"/>
  <cols>
    <col min="1" max="1" width="37.33203125" style="255" customWidth="1"/>
    <col min="2" max="2" width="9.109375" customWidth="1"/>
    <col min="3" max="3" width="19.6640625" style="2" customWidth="1"/>
    <col min="4" max="4" width="9.88671875" customWidth="1"/>
    <col min="5" max="5" width="55.44140625" style="254" customWidth="1"/>
    <col min="6" max="6" width="8" customWidth="1"/>
    <col min="7" max="7" width="92.33203125" style="235" customWidth="1"/>
    <col min="8" max="8" width="10.109375" style="235" customWidth="1"/>
    <col min="9" max="15" width="21.6640625" customWidth="1"/>
    <col min="16" max="16" width="114.6640625" style="199" customWidth="1"/>
    <col min="17" max="22" width="43.88671875" customWidth="1"/>
  </cols>
  <sheetData>
    <row r="1" spans="1:17" s="26" customFormat="1" ht="51.45" customHeight="1" thickTop="1" thickBot="1" x14ac:dyDescent="0.35">
      <c r="A1" s="121" t="s">
        <v>0</v>
      </c>
      <c r="B1" s="121" t="s">
        <v>1</v>
      </c>
      <c r="C1" s="121" t="s">
        <v>2</v>
      </c>
      <c r="D1" s="121" t="s">
        <v>3</v>
      </c>
      <c r="E1" s="121" t="s">
        <v>4</v>
      </c>
      <c r="F1" s="121" t="s">
        <v>5</v>
      </c>
      <c r="G1" s="121" t="s">
        <v>6</v>
      </c>
      <c r="H1" s="121" t="s">
        <v>7</v>
      </c>
      <c r="I1" s="121" t="s">
        <v>8</v>
      </c>
      <c r="J1" s="121" t="s">
        <v>9</v>
      </c>
      <c r="K1" s="121" t="s">
        <v>10</v>
      </c>
      <c r="L1" s="121" t="s">
        <v>11</v>
      </c>
      <c r="M1" s="121" t="s">
        <v>12</v>
      </c>
      <c r="N1" s="121" t="s">
        <v>13</v>
      </c>
      <c r="O1" s="121" t="s">
        <v>14</v>
      </c>
      <c r="P1" s="123" t="s">
        <v>15</v>
      </c>
      <c r="Q1" s="121" t="s">
        <v>16</v>
      </c>
    </row>
    <row r="2" spans="1:17" ht="18.600000000000001" customHeight="1" thickTop="1" thickBot="1" x14ac:dyDescent="0.4">
      <c r="A2" s="279" t="s">
        <v>17</v>
      </c>
      <c r="B2" s="284">
        <v>0.2</v>
      </c>
      <c r="C2" s="306" t="s">
        <v>18</v>
      </c>
      <c r="D2" s="285">
        <v>0.2</v>
      </c>
      <c r="E2" s="277" t="s">
        <v>19</v>
      </c>
      <c r="F2" s="312">
        <f>20%/2</f>
        <v>0.1</v>
      </c>
      <c r="G2" s="88" t="s">
        <v>20</v>
      </c>
      <c r="H2" s="94">
        <v>1</v>
      </c>
      <c r="I2" s="292">
        <v>1</v>
      </c>
      <c r="J2" s="288">
        <f>I2*$F2</f>
        <v>0.1</v>
      </c>
      <c r="K2" s="301">
        <v>1</v>
      </c>
      <c r="L2" s="288">
        <f>K2*$F2</f>
        <v>0.1</v>
      </c>
      <c r="M2" s="308">
        <v>1</v>
      </c>
      <c r="N2" s="288">
        <f>M2*$F2</f>
        <v>0.1</v>
      </c>
      <c r="O2" s="303">
        <f>AVERAGE(J2,L2,N2)</f>
        <v>0.10000000000000002</v>
      </c>
      <c r="P2" s="309" t="s">
        <v>21</v>
      </c>
      <c r="Q2" s="277" t="s">
        <v>22</v>
      </c>
    </row>
    <row r="3" spans="1:17" ht="18.600000000000001" customHeight="1" thickTop="1" thickBot="1" x14ac:dyDescent="0.4">
      <c r="A3" s="287"/>
      <c r="B3" s="280"/>
      <c r="C3" s="307"/>
      <c r="D3" s="280"/>
      <c r="E3" s="278"/>
      <c r="F3" s="280"/>
      <c r="G3" s="88" t="s">
        <v>23</v>
      </c>
      <c r="H3" s="87">
        <v>0.8</v>
      </c>
      <c r="I3" s="293"/>
      <c r="J3" s="289"/>
      <c r="K3" s="289"/>
      <c r="L3" s="289"/>
      <c r="M3" s="289"/>
      <c r="N3" s="289"/>
      <c r="O3" s="304"/>
      <c r="P3" s="289"/>
      <c r="Q3" s="280"/>
    </row>
    <row r="4" spans="1:17" ht="18.600000000000001" customHeight="1" thickTop="1" thickBot="1" x14ac:dyDescent="0.4">
      <c r="A4" s="287"/>
      <c r="B4" s="280"/>
      <c r="C4" s="307"/>
      <c r="D4" s="280"/>
      <c r="E4" s="276"/>
      <c r="F4" s="276"/>
      <c r="G4" s="88" t="s">
        <v>24</v>
      </c>
      <c r="H4" s="91">
        <v>0.5</v>
      </c>
      <c r="I4" s="294"/>
      <c r="J4" s="290"/>
      <c r="K4" s="290"/>
      <c r="L4" s="290"/>
      <c r="M4" s="290"/>
      <c r="N4" s="290"/>
      <c r="O4" s="305"/>
      <c r="P4" s="290"/>
      <c r="Q4" s="276"/>
    </row>
    <row r="5" spans="1:17" ht="152.4" customHeight="1" thickTop="1" thickBot="1" x14ac:dyDescent="0.35">
      <c r="A5" s="276"/>
      <c r="B5" s="276"/>
      <c r="C5" s="276"/>
      <c r="D5" s="276"/>
      <c r="E5" s="89" t="s">
        <v>25</v>
      </c>
      <c r="F5" s="22">
        <f>20%/2</f>
        <v>0.1</v>
      </c>
      <c r="G5" s="38" t="s">
        <v>26</v>
      </c>
      <c r="H5" s="92" t="s">
        <v>27</v>
      </c>
      <c r="I5" s="138">
        <v>0.6</v>
      </c>
      <c r="J5" s="139">
        <f>I5*$F5</f>
        <v>0.06</v>
      </c>
      <c r="K5" s="140">
        <v>0.6</v>
      </c>
      <c r="L5" s="139">
        <f>K5*$F5</f>
        <v>0.06</v>
      </c>
      <c r="M5" s="188">
        <v>0.6</v>
      </c>
      <c r="N5" s="139">
        <f>M5*$F5</f>
        <v>0.06</v>
      </c>
      <c r="O5" s="142">
        <f>AVERAGE(J5,L5,N5)</f>
        <v>0.06</v>
      </c>
      <c r="P5" s="241" t="s">
        <v>28</v>
      </c>
      <c r="Q5" s="89" t="s">
        <v>22</v>
      </c>
    </row>
    <row r="6" spans="1:17" ht="79.2" customHeight="1" thickTop="1" thickBot="1" x14ac:dyDescent="0.35">
      <c r="A6" s="279" t="s">
        <v>29</v>
      </c>
      <c r="B6" s="284">
        <v>0.25</v>
      </c>
      <c r="C6" s="28" t="s">
        <v>30</v>
      </c>
      <c r="D6" s="18">
        <v>0.2</v>
      </c>
      <c r="E6" s="97" t="s">
        <v>31</v>
      </c>
      <c r="F6" s="18">
        <v>0.2</v>
      </c>
      <c r="G6" s="98" t="s">
        <v>32</v>
      </c>
      <c r="H6" s="96">
        <v>0.2</v>
      </c>
      <c r="I6" s="145">
        <v>1</v>
      </c>
      <c r="J6" s="144">
        <f>I6*$F6</f>
        <v>0.2</v>
      </c>
      <c r="K6" s="145">
        <v>1</v>
      </c>
      <c r="L6" s="144">
        <f>K6*$F6</f>
        <v>0.2</v>
      </c>
      <c r="M6" s="145">
        <v>1</v>
      </c>
      <c r="N6" s="144">
        <f>M6*$F6</f>
        <v>0.2</v>
      </c>
      <c r="O6" s="147">
        <f>AVERAGE(J6,L6,N6)</f>
        <v>0.20000000000000004</v>
      </c>
      <c r="P6" s="203" t="s">
        <v>33</v>
      </c>
      <c r="Q6" s="97" t="s">
        <v>22</v>
      </c>
    </row>
    <row r="7" spans="1:17" ht="79.2" customHeight="1" thickTop="1" thickBot="1" x14ac:dyDescent="0.35">
      <c r="A7" s="276"/>
      <c r="B7" s="276"/>
      <c r="C7" s="29" t="s">
        <v>34</v>
      </c>
      <c r="D7" s="15">
        <v>0.05</v>
      </c>
      <c r="E7" s="86" t="s">
        <v>35</v>
      </c>
      <c r="F7" s="15">
        <v>0.05</v>
      </c>
      <c r="G7" s="101" t="s">
        <v>36</v>
      </c>
      <c r="H7" s="85">
        <v>0.05</v>
      </c>
      <c r="I7" s="143">
        <v>1</v>
      </c>
      <c r="J7" s="144">
        <f>I7*$F7</f>
        <v>0.05</v>
      </c>
      <c r="K7" s="145">
        <v>1</v>
      </c>
      <c r="L7" s="144">
        <f>K7*$F7</f>
        <v>0.05</v>
      </c>
      <c r="M7" s="145">
        <v>1</v>
      </c>
      <c r="N7" s="144">
        <f>M7*$F7</f>
        <v>0.05</v>
      </c>
      <c r="O7" s="147">
        <f>AVERAGE(J7,L7,N7)</f>
        <v>5.000000000000001E-2</v>
      </c>
      <c r="P7" s="239" t="s">
        <v>37</v>
      </c>
      <c r="Q7" s="86" t="s">
        <v>22</v>
      </c>
    </row>
    <row r="8" spans="1:17" ht="141.6" customHeight="1" thickTop="1" thickBot="1" x14ac:dyDescent="0.35">
      <c r="A8" s="286" t="s">
        <v>38</v>
      </c>
      <c r="B8" s="302">
        <v>0.25</v>
      </c>
      <c r="C8" s="295" t="s">
        <v>39</v>
      </c>
      <c r="D8" s="275">
        <f>B8</f>
        <v>0.25</v>
      </c>
      <c r="E8" s="93" t="s">
        <v>40</v>
      </c>
      <c r="F8" s="14">
        <f>D8*0.8</f>
        <v>0.2</v>
      </c>
      <c r="G8" s="252" t="s">
        <v>41</v>
      </c>
      <c r="H8" s="103" t="s">
        <v>27</v>
      </c>
      <c r="I8" s="291"/>
      <c r="J8" s="282"/>
      <c r="K8" s="282"/>
      <c r="L8" s="282"/>
      <c r="M8" s="282"/>
      <c r="N8" s="282"/>
      <c r="O8" s="158">
        <f>I8*$F8</f>
        <v>0</v>
      </c>
      <c r="P8" s="211" t="s">
        <v>42</v>
      </c>
      <c r="Q8" s="93" t="s">
        <v>43</v>
      </c>
    </row>
    <row r="9" spans="1:17" ht="141.6" customHeight="1" thickTop="1" thickBot="1" x14ac:dyDescent="0.35">
      <c r="A9" s="276"/>
      <c r="B9" s="276"/>
      <c r="C9" s="276"/>
      <c r="D9" s="276"/>
      <c r="E9" s="89" t="s">
        <v>44</v>
      </c>
      <c r="F9" s="13">
        <f>D8*0.2</f>
        <v>0.05</v>
      </c>
      <c r="G9" s="108" t="s">
        <v>45</v>
      </c>
      <c r="H9" s="106" t="s">
        <v>27</v>
      </c>
      <c r="I9" s="291"/>
      <c r="J9" s="282"/>
      <c r="K9" s="282"/>
      <c r="L9" s="282"/>
      <c r="M9" s="282"/>
      <c r="N9" s="282"/>
      <c r="O9" s="158">
        <f>I9*$F9</f>
        <v>0</v>
      </c>
      <c r="P9" s="211" t="s">
        <v>46</v>
      </c>
      <c r="Q9" s="89" t="s">
        <v>43</v>
      </c>
    </row>
    <row r="10" spans="1:17" ht="66" customHeight="1" thickTop="1" thickBot="1" x14ac:dyDescent="0.35">
      <c r="A10" s="286" t="s">
        <v>47</v>
      </c>
      <c r="B10" s="302">
        <v>0.3</v>
      </c>
      <c r="C10" s="295" t="s">
        <v>48</v>
      </c>
      <c r="D10" s="275">
        <f>$B$10/2</f>
        <v>0.15</v>
      </c>
      <c r="E10" s="277" t="s">
        <v>49</v>
      </c>
      <c r="F10" s="275">
        <f>$B$10/2</f>
        <v>0.15</v>
      </c>
      <c r="G10" s="253" t="s">
        <v>50</v>
      </c>
      <c r="H10" s="103">
        <v>1</v>
      </c>
      <c r="I10" s="281">
        <v>0</v>
      </c>
      <c r="J10" s="298"/>
      <c r="K10" s="298"/>
      <c r="L10" s="298"/>
      <c r="M10" s="298"/>
      <c r="N10" s="299"/>
      <c r="O10" s="310">
        <f>I10*$F10</f>
        <v>0</v>
      </c>
      <c r="P10" s="296" t="s">
        <v>51</v>
      </c>
      <c r="Q10" s="277" t="s">
        <v>43</v>
      </c>
    </row>
    <row r="11" spans="1:17" ht="66" customHeight="1" thickTop="1" thickBot="1" x14ac:dyDescent="0.35">
      <c r="A11" s="287"/>
      <c r="B11" s="280"/>
      <c r="C11" s="276"/>
      <c r="D11" s="276"/>
      <c r="E11" s="276"/>
      <c r="F11" s="276"/>
      <c r="G11" s="110" t="s">
        <v>52</v>
      </c>
      <c r="H11" s="106">
        <v>0</v>
      </c>
      <c r="I11" s="276"/>
      <c r="J11" s="276"/>
      <c r="K11" s="276"/>
      <c r="L11" s="276"/>
      <c r="M11" s="276"/>
      <c r="N11" s="300"/>
      <c r="O11" s="311"/>
      <c r="P11" s="297"/>
      <c r="Q11" s="276"/>
    </row>
    <row r="12" spans="1:17" ht="82.2" customHeight="1" thickTop="1" thickBot="1" x14ac:dyDescent="0.35">
      <c r="A12" s="276"/>
      <c r="B12" s="276"/>
      <c r="C12" s="35" t="s">
        <v>53</v>
      </c>
      <c r="D12" s="6">
        <v>0.15</v>
      </c>
      <c r="E12" s="113" t="s">
        <v>54</v>
      </c>
      <c r="F12" s="6">
        <v>0.15</v>
      </c>
      <c r="G12" s="98" t="s">
        <v>55</v>
      </c>
      <c r="H12" s="112">
        <v>1</v>
      </c>
      <c r="I12" s="281">
        <v>0.2</v>
      </c>
      <c r="J12" s="282"/>
      <c r="K12" s="282"/>
      <c r="L12" s="282"/>
      <c r="M12" s="282"/>
      <c r="N12" s="283"/>
      <c r="O12" s="147">
        <f>I12*$F12</f>
        <v>0.03</v>
      </c>
      <c r="P12" s="211" t="s">
        <v>56</v>
      </c>
      <c r="Q12" s="113" t="s">
        <v>43</v>
      </c>
    </row>
    <row r="13" spans="1:17" ht="26.7" customHeight="1" thickTop="1" x14ac:dyDescent="0.35">
      <c r="L13" s="5" t="s">
        <v>57</v>
      </c>
      <c r="M13" s="5"/>
      <c r="N13" s="5"/>
      <c r="O13" s="4">
        <f>SUM(O2:O12)</f>
        <v>0.44000000000000006</v>
      </c>
    </row>
  </sheetData>
  <mergeCells count="34">
    <mergeCell ref="F2:F4"/>
    <mergeCell ref="N2:N4"/>
    <mergeCell ref="I12:N12"/>
    <mergeCell ref="B2:B5"/>
    <mergeCell ref="D2:D5"/>
    <mergeCell ref="Q10:Q11"/>
    <mergeCell ref="A10:A12"/>
    <mergeCell ref="J2:J4"/>
    <mergeCell ref="L2:L4"/>
    <mergeCell ref="I8:N8"/>
    <mergeCell ref="B6:B7"/>
    <mergeCell ref="I2:I4"/>
    <mergeCell ref="A8:A9"/>
    <mergeCell ref="C8:C9"/>
    <mergeCell ref="A2:A5"/>
    <mergeCell ref="P10:P11"/>
    <mergeCell ref="I10:N11"/>
    <mergeCell ref="K2:K4"/>
    <mergeCell ref="F10:F11"/>
    <mergeCell ref="E2:E4"/>
    <mergeCell ref="A6:A7"/>
    <mergeCell ref="Q2:Q4"/>
    <mergeCell ref="E10:E11"/>
    <mergeCell ref="B8:B9"/>
    <mergeCell ref="O2:O4"/>
    <mergeCell ref="C10:C11"/>
    <mergeCell ref="C2:C5"/>
    <mergeCell ref="D8:D9"/>
    <mergeCell ref="I9:N9"/>
    <mergeCell ref="M2:M4"/>
    <mergeCell ref="P2:P4"/>
    <mergeCell ref="O10:O11"/>
    <mergeCell ref="D10:D11"/>
    <mergeCell ref="B10:B12"/>
  </mergeCells>
  <printOptions horizontalCentered="1"/>
  <pageMargins left="0.23622047244094491" right="0.23622047244094491" top="0.74803149606299213" bottom="0.74803149606299213" header="0.31496062992125978" footer="0.31496062992125978"/>
  <pageSetup scale="46"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categorias</vt:lpstr>
      <vt:lpstr>Salud</vt:lpstr>
      <vt:lpstr>Interior</vt:lpstr>
      <vt:lpstr>Inclusión Social</vt:lpstr>
      <vt:lpstr>Educación</vt:lpstr>
      <vt:lpstr>Desarrollo Económico</vt:lpstr>
      <vt:lpstr>Aguas de Sucre</vt:lpstr>
      <vt:lpstr>Bellas Artes</vt:lpstr>
      <vt:lpstr>Energía</vt:lpstr>
      <vt:lpstr>Fondo Mixto</vt:lpstr>
      <vt:lpstr>Indersucre</vt:lpstr>
      <vt:lpstr>Infraestructura</vt:lpstr>
      <vt:lpstr>Oficina TIC</vt:lpstr>
      <vt:lpstr>Unidad del Riesgo</vt:lpstr>
      <vt:lpstr>Tránsito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Monterroza Castillo</dc:creator>
  <cp:lastModifiedBy>Indicadores</cp:lastModifiedBy>
  <dcterms:created xsi:type="dcterms:W3CDTF">2025-07-17T13:47:55Z</dcterms:created>
  <dcterms:modified xsi:type="dcterms:W3CDTF">2026-07-01T16:05:16Z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0x010100A01762B0BE6F124C893C4EBC44405419</vt:lpwstr>
  </property>
  <property fmtid="{D5CDD505-2E9C-101B-9397-08002B2CF9AE}" pid="3" name="MediaServiceImageTags">
    <vt:lpwstr/>
  </property>
</Properties>
</file>