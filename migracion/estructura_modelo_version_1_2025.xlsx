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defaultThemeVersion="202300"/>
  <mc:AlternateContent xmlns:mc="http://schemas.openxmlformats.org/markup-compatibility/2006">
    <mc:Choice Requires="x15">
      <x15ac:absPath xmlns:x15ac="http://schemas.microsoft.com/office/spreadsheetml/2010/11/ac" url="C:\Users\Donal\Documents\MEGA\Estudio\Django\modelo_alta_gerencia\migracion\"/>
    </mc:Choice>
  </mc:AlternateContent>
  <xr:revisionPtr revIDLastSave="0" documentId="13_ncr:1_{2E34E06C-6B85-43B0-A637-8B66F5DF3FA2}" xr6:coauthVersionLast="47" xr6:coauthVersionMax="47" xr10:uidLastSave="{00000000-0000-0000-0000-000000000000}"/>
  <bookViews>
    <workbookView xWindow="-108" yWindow="-108" windowWidth="23256" windowHeight="12456" xr2:uid="{00000000-000D-0000-FFFF-FFFF00000000}"/>
  </bookViews>
  <sheets>
    <sheet name="categorias" sheetId="1" r:id="rId1"/>
    <sheet name="Salud" sheetId="2" r:id="rId2"/>
    <sheet name="Interior" sheetId="3" r:id="rId3"/>
    <sheet name="Infraestructura" sheetId="4" r:id="rId4"/>
    <sheet name="Inclusión Social " sheetId="5" r:id="rId5"/>
    <sheet name="Educación" sheetId="6" r:id="rId6"/>
    <sheet name="Aguas de Sucre" sheetId="7" r:id="rId7"/>
    <sheet name="Desarrollo Económico" sheetId="8" r:id="rId8"/>
    <sheet name="Energía" sheetId="9" r:id="rId9"/>
    <sheet name="Indersucre" sheetId="10" r:id="rId10"/>
    <sheet name="Fondo Mixto" sheetId="11" r:id="rId11"/>
    <sheet name="Bellas Artes" sheetId="12" r:id="rId12"/>
    <sheet name="Oficina TIC" sheetId="13" r:id="rId13"/>
    <sheet name="Unidad del Riesgo" sheetId="14" r:id="rId14"/>
    <sheet name="Tránsito" sheetId="15" r:id="rId15"/>
  </sheets>
  <definedNames>
    <definedName name="filtro_seleccion">_xlfn.LAMBDA(_xlpm.rango_datos,_xlpm.rango_criterio,_xlpm.criterio_filtro, _xlfn.LET(_xlpm.valores_sustituidos,_xlfn._xlws.FILTER(_xlpm.rango_datos, _xlpm.rango_criterio = _xlpm.criterio_filtro), _xlpm.valor_numerico_o_error,IFERROR(VALUE(_xlpm.valores_sustituidos),_xlpm.valores_sustituidos),_xlpm.es_numero_final,ISNUMBER(_xlpm.valor_numerico_o_error),IF(_xlpm.es_numero_final,ROUNDUP(_xlpm.valor_numerico_o_error, 0),_xlpm.valores_sustituidos)))</definedName>
    <definedName name="Seleccion_modalidad_contratacion">_xlfn.LAMBDA(_xlpm.rango_datos,_xlpm.rango_criterio,_xlpm.criterio_filtro, _xlfn.LET(_xlpm.valores_sustituidos,_xlfn._xlws.FILTER(_xlpm.rango_datos, _xlpm.rango_criterio = _xlpm.criterio_filtro), _xlpm.valor_numerico_o_error,IFERROR(VALUE(_xlpm.valores_sustituidos),_xlpm.valores_sustituidos),_xlpm.es_numero_final,ISNUMBER(_xlpm.valor_numerico_o_error),IF(_xlpm.es_numero_final,ROUNDUP(_xlpm.valor_numerico_o_error, 0),_xlpm.valores_sustituidos)))</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B12" i="15" l="1"/>
  <c r="V12" i="15"/>
  <c r="P12" i="15"/>
  <c r="J12" i="15"/>
  <c r="AB10" i="15"/>
  <c r="V10" i="15"/>
  <c r="P10" i="15"/>
  <c r="J10" i="15"/>
  <c r="F10" i="15"/>
  <c r="D10" i="15"/>
  <c r="AB9" i="15"/>
  <c r="V9" i="15"/>
  <c r="D8" i="15"/>
  <c r="F9" i="15" s="1"/>
  <c r="AA7" i="15"/>
  <c r="Y7" i="15"/>
  <c r="U7" i="15"/>
  <c r="S7" i="15"/>
  <c r="V7" i="15" s="1"/>
  <c r="P7" i="15"/>
  <c r="O7" i="15"/>
  <c r="M7" i="15"/>
  <c r="J7" i="15"/>
  <c r="AA6" i="15"/>
  <c r="AB6" i="15" s="1"/>
  <c r="Y6" i="15"/>
  <c r="V6" i="15"/>
  <c r="U6" i="15"/>
  <c r="S6" i="15"/>
  <c r="O6" i="15"/>
  <c r="M6" i="15"/>
  <c r="P6" i="15" s="1"/>
  <c r="J6" i="15"/>
  <c r="AB5" i="15"/>
  <c r="AA5" i="15"/>
  <c r="Y5" i="15"/>
  <c r="S5" i="15"/>
  <c r="V5" i="15" s="1"/>
  <c r="F5" i="15"/>
  <c r="U5" i="15" s="1"/>
  <c r="AA2" i="15"/>
  <c r="Y2" i="15"/>
  <c r="AB2" i="15" s="1"/>
  <c r="U2" i="15"/>
  <c r="V2" i="15" s="1"/>
  <c r="P2" i="15"/>
  <c r="O2" i="15"/>
  <c r="M2" i="15"/>
  <c r="J2" i="15"/>
  <c r="F2" i="15"/>
  <c r="S2" i="15" s="1"/>
  <c r="AB12" i="14"/>
  <c r="V12" i="14"/>
  <c r="P12" i="14"/>
  <c r="J12" i="14"/>
  <c r="AB10" i="14"/>
  <c r="V10" i="14"/>
  <c r="P10" i="14"/>
  <c r="J10" i="14"/>
  <c r="F10" i="14"/>
  <c r="D10" i="14"/>
  <c r="F9" i="14"/>
  <c r="AB8" i="14"/>
  <c r="V8" i="14"/>
  <c r="O8" i="14"/>
  <c r="D8" i="14"/>
  <c r="F8" i="14" s="1"/>
  <c r="AA7" i="14"/>
  <c r="Y7" i="14"/>
  <c r="AB7" i="14" s="1"/>
  <c r="U7" i="14"/>
  <c r="S7" i="14"/>
  <c r="V7" i="14" s="1"/>
  <c r="O7" i="14"/>
  <c r="P7" i="14" s="1"/>
  <c r="M7" i="14"/>
  <c r="J7" i="14"/>
  <c r="AA6" i="14"/>
  <c r="Y6" i="14"/>
  <c r="AB6" i="14" s="1"/>
  <c r="U6" i="14"/>
  <c r="S6" i="14"/>
  <c r="V6" i="14" s="1"/>
  <c r="P6" i="14"/>
  <c r="O6" i="14"/>
  <c r="M6" i="14"/>
  <c r="J6" i="14"/>
  <c r="AA5" i="14"/>
  <c r="Y5" i="14"/>
  <c r="AB5" i="14" s="1"/>
  <c r="U5" i="14"/>
  <c r="V5" i="14" s="1"/>
  <c r="S5" i="14"/>
  <c r="O5" i="14"/>
  <c r="M5" i="14"/>
  <c r="P5" i="14" s="1"/>
  <c r="J5" i="14"/>
  <c r="AB2" i="14"/>
  <c r="AA2" i="14"/>
  <c r="Y2" i="14"/>
  <c r="U2" i="14"/>
  <c r="V2" i="14" s="1"/>
  <c r="S2" i="14"/>
  <c r="O2" i="14"/>
  <c r="M2" i="14"/>
  <c r="P2" i="14" s="1"/>
  <c r="J2" i="14"/>
  <c r="AB17" i="13"/>
  <c r="V17" i="13"/>
  <c r="P17" i="13"/>
  <c r="J17" i="13"/>
  <c r="F15" i="13"/>
  <c r="D15" i="13"/>
  <c r="AB15" i="13" s="1"/>
  <c r="F14" i="13"/>
  <c r="O14" i="13" s="1"/>
  <c r="J13" i="13"/>
  <c r="F13" i="13"/>
  <c r="D13" i="13"/>
  <c r="AA12" i="13"/>
  <c r="Y12" i="13"/>
  <c r="AB12" i="13" s="1"/>
  <c r="V12" i="13"/>
  <c r="U12" i="13"/>
  <c r="S12" i="13"/>
  <c r="O12" i="13"/>
  <c r="M12" i="13"/>
  <c r="P12" i="13" s="1"/>
  <c r="J12" i="13"/>
  <c r="AB11" i="13"/>
  <c r="AA11" i="13"/>
  <c r="Y11" i="13"/>
  <c r="U11" i="13"/>
  <c r="S11" i="13"/>
  <c r="V11" i="13" s="1"/>
  <c r="O11" i="13"/>
  <c r="M11" i="13"/>
  <c r="J11" i="13"/>
  <c r="AA10" i="13"/>
  <c r="Y10" i="13"/>
  <c r="AB10" i="13" s="1"/>
  <c r="U10" i="13"/>
  <c r="S10" i="13"/>
  <c r="O10" i="13"/>
  <c r="P10" i="13" s="1"/>
  <c r="M10" i="13"/>
  <c r="J10" i="13"/>
  <c r="AB9" i="13"/>
  <c r="AA9" i="13"/>
  <c r="Y9" i="13"/>
  <c r="U9" i="13"/>
  <c r="O9" i="13"/>
  <c r="M9" i="13"/>
  <c r="P9" i="13" s="1"/>
  <c r="J9" i="13"/>
  <c r="F9" i="13"/>
  <c r="S9" i="13" s="1"/>
  <c r="V9" i="13" s="1"/>
  <c r="M6" i="13"/>
  <c r="J6" i="13"/>
  <c r="F6" i="13"/>
  <c r="AA5" i="13"/>
  <c r="Y5" i="13"/>
  <c r="U5" i="13"/>
  <c r="V5" i="13" s="1"/>
  <c r="S5" i="13"/>
  <c r="F5" i="13"/>
  <c r="O5" i="13" s="1"/>
  <c r="Y2" i="13"/>
  <c r="U2" i="13"/>
  <c r="S2" i="13"/>
  <c r="V2" i="13" s="1"/>
  <c r="O2" i="13"/>
  <c r="J2" i="13"/>
  <c r="F2" i="13"/>
  <c r="AB24" i="11"/>
  <c r="F24" i="11"/>
  <c r="V24" i="11" s="1"/>
  <c r="D24" i="11"/>
  <c r="AB22" i="11"/>
  <c r="V22" i="11"/>
  <c r="P22" i="11"/>
  <c r="J22" i="11"/>
  <c r="F22" i="11"/>
  <c r="D22" i="11"/>
  <c r="D20" i="11"/>
  <c r="AB19" i="11"/>
  <c r="AA19" i="11"/>
  <c r="Y19" i="11"/>
  <c r="V19" i="11"/>
  <c r="U19" i="11"/>
  <c r="S19" i="11"/>
  <c r="P19" i="11"/>
  <c r="O19" i="11"/>
  <c r="M19" i="11"/>
  <c r="J19" i="11"/>
  <c r="AA18" i="11"/>
  <c r="Y18" i="11"/>
  <c r="U18" i="11"/>
  <c r="S18" i="11"/>
  <c r="V18" i="11" s="1"/>
  <c r="P18" i="11"/>
  <c r="O18" i="11"/>
  <c r="M18" i="11"/>
  <c r="J18" i="11"/>
  <c r="AA17" i="11"/>
  <c r="Y17" i="11"/>
  <c r="AB17" i="11" s="1"/>
  <c r="U17" i="11"/>
  <c r="V17" i="11" s="1"/>
  <c r="S17" i="11"/>
  <c r="O17" i="11"/>
  <c r="M17" i="11"/>
  <c r="J17" i="11"/>
  <c r="AB16" i="11"/>
  <c r="V16" i="11"/>
  <c r="O16" i="11"/>
  <c r="M16" i="11"/>
  <c r="P16" i="11" s="1"/>
  <c r="J16" i="11"/>
  <c r="AA15" i="11"/>
  <c r="AB15" i="11" s="1"/>
  <c r="Y15" i="11"/>
  <c r="U15" i="11"/>
  <c r="S15" i="11"/>
  <c r="V15" i="11" s="1"/>
  <c r="P15" i="11"/>
  <c r="O15" i="11"/>
  <c r="M15" i="11"/>
  <c r="J15" i="11"/>
  <c r="AA14" i="11"/>
  <c r="Y14" i="11"/>
  <c r="AB14" i="11" s="1"/>
  <c r="U14" i="11"/>
  <c r="S14" i="11"/>
  <c r="V14" i="11" s="1"/>
  <c r="O14" i="11"/>
  <c r="P14" i="11" s="1"/>
  <c r="M14" i="11"/>
  <c r="J14" i="11"/>
  <c r="U13" i="11"/>
  <c r="F13" i="11"/>
  <c r="F10" i="11"/>
  <c r="D10" i="11"/>
  <c r="AA9" i="11"/>
  <c r="F9" i="11"/>
  <c r="Y6" i="11"/>
  <c r="U6" i="11"/>
  <c r="S6" i="11"/>
  <c r="V6" i="11" s="1"/>
  <c r="O6" i="11"/>
  <c r="F6" i="11"/>
  <c r="D6" i="11"/>
  <c r="O5" i="11"/>
  <c r="F5" i="11"/>
  <c r="S2" i="11"/>
  <c r="O2" i="11"/>
  <c r="P2" i="11" s="1"/>
  <c r="M2" i="11"/>
  <c r="F2" i="11"/>
  <c r="D2" i="11"/>
  <c r="F24" i="10"/>
  <c r="D24" i="10"/>
  <c r="AB22" i="10"/>
  <c r="V22" i="10"/>
  <c r="P22" i="10"/>
  <c r="J22" i="10"/>
  <c r="F22" i="10"/>
  <c r="D22" i="10"/>
  <c r="F21" i="10"/>
  <c r="O21" i="10" s="1"/>
  <c r="AB20" i="10"/>
  <c r="V20" i="10"/>
  <c r="M20" i="10"/>
  <c r="P20" i="10" s="1"/>
  <c r="J20" i="10"/>
  <c r="F20" i="10"/>
  <c r="O20" i="10" s="1"/>
  <c r="D20" i="10"/>
  <c r="AA19" i="10"/>
  <c r="AB19" i="10" s="1"/>
  <c r="Y19" i="10"/>
  <c r="U19" i="10"/>
  <c r="S19" i="10"/>
  <c r="V19" i="10" s="1"/>
  <c r="O19" i="10"/>
  <c r="M19" i="10"/>
  <c r="P19" i="10" s="1"/>
  <c r="J19" i="10"/>
  <c r="AA18" i="10"/>
  <c r="Y18" i="10"/>
  <c r="AB18" i="10" s="1"/>
  <c r="U18" i="10"/>
  <c r="S18" i="10"/>
  <c r="V18" i="10" s="1"/>
  <c r="O18" i="10"/>
  <c r="M18" i="10"/>
  <c r="P18" i="10" s="1"/>
  <c r="J18" i="10"/>
  <c r="AA17" i="10"/>
  <c r="AB17" i="10" s="1"/>
  <c r="Y17" i="10"/>
  <c r="U17" i="10"/>
  <c r="S17" i="10"/>
  <c r="V17" i="10" s="1"/>
  <c r="O17" i="10"/>
  <c r="M17" i="10"/>
  <c r="P17" i="10" s="1"/>
  <c r="J17" i="10"/>
  <c r="AB16" i="10"/>
  <c r="V16" i="10"/>
  <c r="O16" i="10"/>
  <c r="M16" i="10"/>
  <c r="P16" i="10" s="1"/>
  <c r="J16" i="10"/>
  <c r="AA15" i="10"/>
  <c r="AB15" i="10" s="1"/>
  <c r="Y15" i="10"/>
  <c r="U15" i="10"/>
  <c r="S15" i="10"/>
  <c r="V15" i="10" s="1"/>
  <c r="P15" i="10"/>
  <c r="O15" i="10"/>
  <c r="M15" i="10"/>
  <c r="J15" i="10"/>
  <c r="AB14" i="10"/>
  <c r="AA14" i="10"/>
  <c r="Y14" i="10"/>
  <c r="U14" i="10"/>
  <c r="S14" i="10"/>
  <c r="V14" i="10" s="1"/>
  <c r="O14" i="10"/>
  <c r="M14" i="10"/>
  <c r="P14" i="10" s="1"/>
  <c r="J14" i="10"/>
  <c r="J13" i="10"/>
  <c r="F13" i="10"/>
  <c r="AA10" i="10"/>
  <c r="Y10" i="10"/>
  <c r="U10" i="10"/>
  <c r="S10" i="10"/>
  <c r="V10" i="10" s="1"/>
  <c r="F10" i="10"/>
  <c r="O10" i="10" s="1"/>
  <c r="D10" i="10"/>
  <c r="AA9" i="10"/>
  <c r="Y9" i="10"/>
  <c r="AB9" i="10" s="1"/>
  <c r="U9" i="10"/>
  <c r="S9" i="10"/>
  <c r="V9" i="10" s="1"/>
  <c r="M9" i="10"/>
  <c r="P9" i="10" s="1"/>
  <c r="F9" i="10"/>
  <c r="O9" i="10" s="1"/>
  <c r="U6" i="10"/>
  <c r="F6" i="10"/>
  <c r="O6" i="10" s="1"/>
  <c r="D6" i="10"/>
  <c r="F5" i="10"/>
  <c r="F2" i="10"/>
  <c r="D2" i="10"/>
  <c r="AB24" i="9"/>
  <c r="V24" i="9"/>
  <c r="P24" i="9"/>
  <c r="J24" i="9"/>
  <c r="J22" i="9"/>
  <c r="F22" i="9"/>
  <c r="D22" i="9"/>
  <c r="D20" i="9"/>
  <c r="F21" i="9" s="1"/>
  <c r="AB19" i="9"/>
  <c r="AA19" i="9"/>
  <c r="Y19" i="9"/>
  <c r="V19" i="9"/>
  <c r="U19" i="9"/>
  <c r="S19" i="9"/>
  <c r="O19" i="9"/>
  <c r="M19" i="9"/>
  <c r="P19" i="9" s="1"/>
  <c r="J19" i="9"/>
  <c r="AA18" i="9"/>
  <c r="Y18" i="9"/>
  <c r="AB18" i="9" s="1"/>
  <c r="V18" i="9"/>
  <c r="U18" i="9"/>
  <c r="S18" i="9"/>
  <c r="O18" i="9"/>
  <c r="M18" i="9"/>
  <c r="J18" i="9"/>
  <c r="AA17" i="9"/>
  <c r="Y17" i="9"/>
  <c r="AB17" i="9" s="1"/>
  <c r="U17" i="9"/>
  <c r="S17" i="9"/>
  <c r="V17" i="9" s="1"/>
  <c r="O17" i="9"/>
  <c r="P17" i="9" s="1"/>
  <c r="M17" i="9"/>
  <c r="J17" i="9"/>
  <c r="AB16" i="9"/>
  <c r="V16" i="9"/>
  <c r="O16" i="9"/>
  <c r="M16" i="9"/>
  <c r="P16" i="9" s="1"/>
  <c r="J16" i="9"/>
  <c r="AA15" i="9"/>
  <c r="Y15" i="9"/>
  <c r="AB15" i="9" s="1"/>
  <c r="V15" i="9"/>
  <c r="U15" i="9"/>
  <c r="S15" i="9"/>
  <c r="P15" i="9"/>
  <c r="O15" i="9"/>
  <c r="M15" i="9"/>
  <c r="J15" i="9"/>
  <c r="AA14" i="9"/>
  <c r="Y14" i="9"/>
  <c r="AB14" i="9" s="1"/>
  <c r="U14" i="9"/>
  <c r="S14" i="9"/>
  <c r="V14" i="9" s="1"/>
  <c r="O14" i="9"/>
  <c r="M14" i="9"/>
  <c r="J14" i="9"/>
  <c r="O13" i="9"/>
  <c r="J13" i="9"/>
  <c r="F13" i="9"/>
  <c r="AA10" i="9"/>
  <c r="O10" i="9"/>
  <c r="M10" i="9"/>
  <c r="P10" i="9" s="1"/>
  <c r="F10" i="9"/>
  <c r="D10" i="9"/>
  <c r="F9" i="9"/>
  <c r="U9" i="9" s="1"/>
  <c r="AA6" i="9"/>
  <c r="Y6" i="9"/>
  <c r="AB6" i="9" s="1"/>
  <c r="U6" i="9"/>
  <c r="S6" i="9"/>
  <c r="V6" i="9" s="1"/>
  <c r="P6" i="9"/>
  <c r="O6" i="9"/>
  <c r="M6" i="9"/>
  <c r="J6" i="9"/>
  <c r="F6" i="9"/>
  <c r="D6" i="9"/>
  <c r="AA5" i="9"/>
  <c r="Y5" i="9"/>
  <c r="AB5" i="9" s="1"/>
  <c r="U5" i="9"/>
  <c r="S5" i="9"/>
  <c r="P5" i="9"/>
  <c r="O5" i="9"/>
  <c r="M5" i="9"/>
  <c r="J5" i="9"/>
  <c r="F5" i="9"/>
  <c r="S2" i="9"/>
  <c r="O2" i="9"/>
  <c r="M2" i="9"/>
  <c r="P2" i="9" s="1"/>
  <c r="J2" i="9"/>
  <c r="F2" i="9"/>
  <c r="D2" i="9"/>
  <c r="AB24" i="8"/>
  <c r="V24" i="8"/>
  <c r="P24" i="8"/>
  <c r="J24" i="8"/>
  <c r="AB22" i="8"/>
  <c r="V22" i="8"/>
  <c r="P22" i="8"/>
  <c r="F22" i="8"/>
  <c r="J22" i="8" s="1"/>
  <c r="D22" i="8"/>
  <c r="O21" i="8"/>
  <c r="M21" i="8"/>
  <c r="J21" i="8"/>
  <c r="F21" i="8"/>
  <c r="AB20" i="8"/>
  <c r="V20" i="8"/>
  <c r="O20" i="8"/>
  <c r="M20" i="8"/>
  <c r="P20" i="8" s="1"/>
  <c r="J20" i="8"/>
  <c r="F20" i="8"/>
  <c r="D20" i="8"/>
  <c r="AA19" i="8"/>
  <c r="Y19" i="8"/>
  <c r="AB19" i="8" s="1"/>
  <c r="V19" i="8"/>
  <c r="U19" i="8"/>
  <c r="S19" i="8"/>
  <c r="O19" i="8"/>
  <c r="M19" i="8"/>
  <c r="P19" i="8" s="1"/>
  <c r="J19" i="8"/>
  <c r="AB18" i="8"/>
  <c r="AA18" i="8"/>
  <c r="Y18" i="8"/>
  <c r="U18" i="8"/>
  <c r="S18" i="8"/>
  <c r="V18" i="8" s="1"/>
  <c r="P18" i="8"/>
  <c r="O18" i="8"/>
  <c r="M18" i="8"/>
  <c r="J18" i="8"/>
  <c r="AA17" i="8"/>
  <c r="AB17" i="8" s="1"/>
  <c r="Y17" i="8"/>
  <c r="U17" i="8"/>
  <c r="S17" i="8"/>
  <c r="O17" i="8"/>
  <c r="M17" i="8"/>
  <c r="J17" i="8"/>
  <c r="AB16" i="8"/>
  <c r="V16" i="8"/>
  <c r="O16" i="8"/>
  <c r="M16" i="8"/>
  <c r="P16" i="8" s="1"/>
  <c r="J16" i="8"/>
  <c r="AB15" i="8"/>
  <c r="AA15" i="8"/>
  <c r="Y15" i="8"/>
  <c r="U15" i="8"/>
  <c r="S15" i="8"/>
  <c r="V15" i="8" s="1"/>
  <c r="O15" i="8"/>
  <c r="M15" i="8"/>
  <c r="J15" i="8"/>
  <c r="AB14" i="8"/>
  <c r="AA14" i="8"/>
  <c r="Y14" i="8"/>
  <c r="V14" i="8"/>
  <c r="U14" i="8"/>
  <c r="S14" i="8"/>
  <c r="O14" i="8"/>
  <c r="P14" i="8" s="1"/>
  <c r="M14" i="8"/>
  <c r="J14" i="8"/>
  <c r="AB13" i="8"/>
  <c r="AA13" i="8"/>
  <c r="Y13" i="8"/>
  <c r="U13" i="8"/>
  <c r="S13" i="8"/>
  <c r="P13" i="8"/>
  <c r="O13" i="8"/>
  <c r="M13" i="8"/>
  <c r="J13" i="8"/>
  <c r="F13" i="8"/>
  <c r="AA10" i="8"/>
  <c r="AB10" i="8" s="1"/>
  <c r="Y10" i="8"/>
  <c r="V10" i="8"/>
  <c r="S10" i="8"/>
  <c r="P10" i="8"/>
  <c r="O10" i="8"/>
  <c r="M10" i="8"/>
  <c r="F10" i="8"/>
  <c r="U10" i="8" s="1"/>
  <c r="D10" i="8"/>
  <c r="AA9" i="8"/>
  <c r="Y9" i="8"/>
  <c r="AB9" i="8" s="1"/>
  <c r="V9" i="8"/>
  <c r="S9" i="8"/>
  <c r="P9" i="8"/>
  <c r="O9" i="8"/>
  <c r="M9" i="8"/>
  <c r="J9" i="8"/>
  <c r="F9" i="8"/>
  <c r="U9" i="8" s="1"/>
  <c r="Y6" i="8"/>
  <c r="U6" i="8"/>
  <c r="O6" i="8"/>
  <c r="M6" i="8"/>
  <c r="P6" i="8" s="1"/>
  <c r="J6" i="8"/>
  <c r="F6" i="8"/>
  <c r="D6" i="8"/>
  <c r="F5" i="8"/>
  <c r="Y2" i="8"/>
  <c r="M2" i="8"/>
  <c r="J2" i="8"/>
  <c r="F2" i="8"/>
  <c r="D2" i="8"/>
  <c r="AB19" i="7"/>
  <c r="V19" i="7"/>
  <c r="P19" i="7"/>
  <c r="J19" i="7"/>
  <c r="AB17" i="7"/>
  <c r="V17" i="7"/>
  <c r="P17" i="7"/>
  <c r="J17" i="7"/>
  <c r="F17" i="7"/>
  <c r="D17" i="7"/>
  <c r="AB16" i="7"/>
  <c r="V16" i="7"/>
  <c r="F15" i="7"/>
  <c r="D15" i="7"/>
  <c r="F16" i="7" s="1"/>
  <c r="AB14" i="7"/>
  <c r="AA14" i="7"/>
  <c r="Y14" i="7"/>
  <c r="U14" i="7"/>
  <c r="V14" i="7" s="1"/>
  <c r="S14" i="7"/>
  <c r="O14" i="7"/>
  <c r="P14" i="7" s="1"/>
  <c r="M14" i="7"/>
  <c r="J14" i="7"/>
  <c r="AA13" i="7"/>
  <c r="AB13" i="7" s="1"/>
  <c r="Y13" i="7"/>
  <c r="U13" i="7"/>
  <c r="S13" i="7"/>
  <c r="P13" i="7"/>
  <c r="O13" i="7"/>
  <c r="M13" i="7"/>
  <c r="J13" i="7"/>
  <c r="AA12" i="7"/>
  <c r="Y12" i="7"/>
  <c r="U12" i="7"/>
  <c r="V12" i="7" s="1"/>
  <c r="P12" i="7"/>
  <c r="O12" i="7"/>
  <c r="M12" i="7"/>
  <c r="J12" i="7"/>
  <c r="F12" i="7"/>
  <c r="S12" i="7" s="1"/>
  <c r="D12" i="7"/>
  <c r="P11" i="7"/>
  <c r="O11" i="7"/>
  <c r="M11" i="7"/>
  <c r="F11" i="7"/>
  <c r="J11" i="7" s="1"/>
  <c r="D11" i="7"/>
  <c r="AA10" i="7"/>
  <c r="AB10" i="7" s="1"/>
  <c r="Y10" i="7"/>
  <c r="M10" i="7"/>
  <c r="F10" i="7"/>
  <c r="D10" i="7"/>
  <c r="AA9" i="7"/>
  <c r="Y9" i="7"/>
  <c r="S9" i="7"/>
  <c r="O9" i="7"/>
  <c r="P9" i="7" s="1"/>
  <c r="M9" i="7"/>
  <c r="F9" i="7"/>
  <c r="AB6" i="7"/>
  <c r="AA6" i="7"/>
  <c r="Y6" i="7"/>
  <c r="U6" i="7"/>
  <c r="V6" i="7" s="1"/>
  <c r="O6" i="7"/>
  <c r="M6" i="7"/>
  <c r="P6" i="7" s="1"/>
  <c r="J6" i="7"/>
  <c r="F6" i="7"/>
  <c r="S6" i="7" s="1"/>
  <c r="D6" i="7"/>
  <c r="AA5" i="7"/>
  <c r="Y5" i="7"/>
  <c r="V5" i="7"/>
  <c r="U5" i="7"/>
  <c r="O5" i="7"/>
  <c r="M5" i="7"/>
  <c r="P5" i="7" s="1"/>
  <c r="J5" i="7"/>
  <c r="F5" i="7"/>
  <c r="S5" i="7" s="1"/>
  <c r="V2" i="7"/>
  <c r="U2" i="7"/>
  <c r="S2" i="7"/>
  <c r="O2" i="7"/>
  <c r="M2" i="7"/>
  <c r="J2" i="7"/>
  <c r="F2" i="7"/>
  <c r="D2" i="7"/>
  <c r="AB24" i="6"/>
  <c r="V24" i="6"/>
  <c r="P24" i="6"/>
  <c r="J24" i="6"/>
  <c r="AB22" i="6"/>
  <c r="V22" i="6"/>
  <c r="P22" i="6"/>
  <c r="F22" i="6"/>
  <c r="J22" i="6" s="1"/>
  <c r="D22" i="6"/>
  <c r="F21" i="6"/>
  <c r="J21" i="6" s="1"/>
  <c r="D20" i="6"/>
  <c r="F20" i="6" s="1"/>
  <c r="AB20" i="6" s="1"/>
  <c r="AA19" i="6"/>
  <c r="Y19" i="6"/>
  <c r="AB19" i="6" s="1"/>
  <c r="V19" i="6"/>
  <c r="U19" i="6"/>
  <c r="S19" i="6"/>
  <c r="O19" i="6"/>
  <c r="M19" i="6"/>
  <c r="P19" i="6" s="1"/>
  <c r="J19" i="6"/>
  <c r="AB18" i="6"/>
  <c r="AA18" i="6"/>
  <c r="Y18" i="6"/>
  <c r="U18" i="6"/>
  <c r="S18" i="6"/>
  <c r="V18" i="6" s="1"/>
  <c r="P18" i="6"/>
  <c r="O18" i="6"/>
  <c r="M18" i="6"/>
  <c r="J18" i="6"/>
  <c r="AA17" i="6"/>
  <c r="Y17" i="6"/>
  <c r="AB17" i="6" s="1"/>
  <c r="V17" i="6"/>
  <c r="U17" i="6"/>
  <c r="S17" i="6"/>
  <c r="O17" i="6"/>
  <c r="M17" i="6"/>
  <c r="P17" i="6" s="1"/>
  <c r="J17" i="6"/>
  <c r="AB16" i="6"/>
  <c r="V16" i="6"/>
  <c r="O16" i="6"/>
  <c r="M16" i="6"/>
  <c r="P16" i="6" s="1"/>
  <c r="J16" i="6"/>
  <c r="AB15" i="6"/>
  <c r="AA15" i="6"/>
  <c r="Y15" i="6"/>
  <c r="U15" i="6"/>
  <c r="S15" i="6"/>
  <c r="V15" i="6" s="1"/>
  <c r="O15" i="6"/>
  <c r="M15" i="6"/>
  <c r="J15" i="6"/>
  <c r="AA14" i="6"/>
  <c r="Y14" i="6"/>
  <c r="AB14" i="6" s="1"/>
  <c r="U14" i="6"/>
  <c r="S14" i="6"/>
  <c r="O14" i="6"/>
  <c r="P14" i="6" s="1"/>
  <c r="M14" i="6"/>
  <c r="J14" i="6"/>
  <c r="AA13" i="6"/>
  <c r="AB13" i="6" s="1"/>
  <c r="Y13" i="6"/>
  <c r="V13" i="6"/>
  <c r="U13" i="6"/>
  <c r="P13" i="6"/>
  <c r="O13" i="6"/>
  <c r="M13" i="6"/>
  <c r="J13" i="6"/>
  <c r="F13" i="6"/>
  <c r="S13" i="6" s="1"/>
  <c r="AA10" i="6"/>
  <c r="Y10" i="6"/>
  <c r="AB10" i="6" s="1"/>
  <c r="V10" i="6"/>
  <c r="U10" i="6"/>
  <c r="S10" i="6"/>
  <c r="O10" i="6"/>
  <c r="M10" i="6"/>
  <c r="P10" i="6" s="1"/>
  <c r="J10" i="6"/>
  <c r="F10" i="6"/>
  <c r="D10" i="6"/>
  <c r="AA9" i="6"/>
  <c r="Y9" i="6"/>
  <c r="AB9" i="6" s="1"/>
  <c r="U9" i="6"/>
  <c r="S9" i="6"/>
  <c r="V9" i="6" s="1"/>
  <c r="O9" i="6"/>
  <c r="M9" i="6"/>
  <c r="J9" i="6"/>
  <c r="F9" i="6"/>
  <c r="F6" i="6"/>
  <c r="J6" i="6" s="1"/>
  <c r="D6" i="6"/>
  <c r="AA5" i="6"/>
  <c r="F5" i="6"/>
  <c r="Y2" i="6"/>
  <c r="U2" i="6"/>
  <c r="F2" i="6"/>
  <c r="D2" i="6"/>
  <c r="AB18" i="5"/>
  <c r="V18" i="5"/>
  <c r="P18" i="5"/>
  <c r="J18" i="5"/>
  <c r="F16" i="5"/>
  <c r="D16" i="5"/>
  <c r="AB15" i="5"/>
  <c r="V15" i="5"/>
  <c r="O15" i="5"/>
  <c r="P15" i="5" s="1"/>
  <c r="M15" i="5"/>
  <c r="D14" i="5"/>
  <c r="F15" i="5" s="1"/>
  <c r="J15" i="5" s="1"/>
  <c r="AA13" i="5"/>
  <c r="Y13" i="5"/>
  <c r="AB13" i="5" s="1"/>
  <c r="U13" i="5"/>
  <c r="S13" i="5"/>
  <c r="V13" i="5" s="1"/>
  <c r="P13" i="5"/>
  <c r="O13" i="5"/>
  <c r="M13" i="5"/>
  <c r="J13" i="5"/>
  <c r="AA12" i="5"/>
  <c r="Y12" i="5"/>
  <c r="AB12" i="5" s="1"/>
  <c r="U12" i="5"/>
  <c r="V12" i="5" s="1"/>
  <c r="S12" i="5"/>
  <c r="O12" i="5"/>
  <c r="P12" i="5" s="1"/>
  <c r="M12" i="5"/>
  <c r="J12" i="5"/>
  <c r="AB11" i="5"/>
  <c r="V11" i="5"/>
  <c r="F11" i="5"/>
  <c r="AA10" i="5"/>
  <c r="F10" i="5"/>
  <c r="J10" i="5" s="1"/>
  <c r="AB9" i="5"/>
  <c r="Y9" i="5"/>
  <c r="U9" i="5"/>
  <c r="S9" i="5"/>
  <c r="V9" i="5" s="1"/>
  <c r="O9" i="5"/>
  <c r="M9" i="5"/>
  <c r="J9" i="5"/>
  <c r="F9" i="5"/>
  <c r="AA9" i="5" s="1"/>
  <c r="AA6" i="5"/>
  <c r="U6" i="5"/>
  <c r="S6" i="5"/>
  <c r="V6" i="5" s="1"/>
  <c r="F6" i="5"/>
  <c r="J6" i="5" s="1"/>
  <c r="D6" i="5"/>
  <c r="F5" i="5"/>
  <c r="F2" i="5"/>
  <c r="D2" i="5"/>
  <c r="AB24" i="4"/>
  <c r="V24" i="4"/>
  <c r="P24" i="4"/>
  <c r="J24" i="4"/>
  <c r="P22" i="4"/>
  <c r="J22" i="4"/>
  <c r="F22" i="4"/>
  <c r="D22" i="4"/>
  <c r="D20" i="4"/>
  <c r="AB19" i="4"/>
  <c r="AA19" i="4"/>
  <c r="Y19" i="4"/>
  <c r="U19" i="4"/>
  <c r="S19" i="4"/>
  <c r="P19" i="4"/>
  <c r="O19" i="4"/>
  <c r="M19" i="4"/>
  <c r="J19" i="4"/>
  <c r="AA18" i="4"/>
  <c r="Y18" i="4"/>
  <c r="AB18" i="4" s="1"/>
  <c r="V18" i="4"/>
  <c r="U18" i="4"/>
  <c r="S18" i="4"/>
  <c r="O18" i="4"/>
  <c r="P18" i="4" s="1"/>
  <c r="M18" i="4"/>
  <c r="J18" i="4"/>
  <c r="AA17" i="4"/>
  <c r="AB17" i="4" s="1"/>
  <c r="Y17" i="4"/>
  <c r="U17" i="4"/>
  <c r="S17" i="4"/>
  <c r="V17" i="4" s="1"/>
  <c r="P17" i="4"/>
  <c r="O17" i="4"/>
  <c r="M17" i="4"/>
  <c r="J17" i="4"/>
  <c r="AB16" i="4"/>
  <c r="V16" i="4"/>
  <c r="O16" i="4"/>
  <c r="P16" i="4" s="1"/>
  <c r="M16" i="4"/>
  <c r="J16" i="4"/>
  <c r="AA15" i="4"/>
  <c r="Y15" i="4"/>
  <c r="AB15" i="4" s="1"/>
  <c r="U15" i="4"/>
  <c r="S15" i="4"/>
  <c r="P15" i="4"/>
  <c r="O15" i="4"/>
  <c r="M15" i="4"/>
  <c r="J15" i="4"/>
  <c r="AA14" i="4"/>
  <c r="Y14" i="4"/>
  <c r="AB14" i="4" s="1"/>
  <c r="U14" i="4"/>
  <c r="V14" i="4" s="1"/>
  <c r="S14" i="4"/>
  <c r="O14" i="4"/>
  <c r="P14" i="4" s="1"/>
  <c r="M14" i="4"/>
  <c r="J14" i="4"/>
  <c r="M13" i="4"/>
  <c r="J13" i="4"/>
  <c r="F13" i="4"/>
  <c r="F10" i="4"/>
  <c r="J10" i="4" s="1"/>
  <c r="D10" i="4"/>
  <c r="AA9" i="4"/>
  <c r="Y9" i="4"/>
  <c r="AB9" i="4" s="1"/>
  <c r="U9" i="4"/>
  <c r="S9" i="4"/>
  <c r="V9" i="4" s="1"/>
  <c r="P9" i="4"/>
  <c r="O9" i="4"/>
  <c r="F9" i="4"/>
  <c r="M9" i="4" s="1"/>
  <c r="AA6" i="4"/>
  <c r="Y6" i="4"/>
  <c r="AB6" i="4" s="1"/>
  <c r="S6" i="4"/>
  <c r="O6" i="4"/>
  <c r="M6" i="4"/>
  <c r="P6" i="4" s="1"/>
  <c r="F6" i="4"/>
  <c r="D6" i="4"/>
  <c r="Y5" i="4"/>
  <c r="S5" i="4"/>
  <c r="P5" i="4"/>
  <c r="O5" i="4"/>
  <c r="M5" i="4"/>
  <c r="F5" i="4"/>
  <c r="AB2" i="4"/>
  <c r="AA2" i="4"/>
  <c r="Y2" i="4"/>
  <c r="U2" i="4"/>
  <c r="V2" i="4" s="1"/>
  <c r="S2" i="4"/>
  <c r="O2" i="4"/>
  <c r="P2" i="4" s="1"/>
  <c r="M2" i="4"/>
  <c r="J2" i="4"/>
  <c r="F2" i="4"/>
  <c r="D2" i="4"/>
  <c r="AB19" i="3"/>
  <c r="V19" i="3"/>
  <c r="P19" i="3"/>
  <c r="J19" i="3"/>
  <c r="F17" i="3"/>
  <c r="P17" i="3" s="1"/>
  <c r="D17" i="3"/>
  <c r="J16" i="3"/>
  <c r="F16" i="3"/>
  <c r="F15" i="3"/>
  <c r="D15" i="3"/>
  <c r="AA14" i="3"/>
  <c r="Y14" i="3"/>
  <c r="U14" i="3"/>
  <c r="V14" i="3" s="1"/>
  <c r="S14" i="3"/>
  <c r="P14" i="3"/>
  <c r="O14" i="3"/>
  <c r="M14" i="3"/>
  <c r="J14" i="3"/>
  <c r="AA13" i="3"/>
  <c r="AB13" i="3" s="1"/>
  <c r="Y13" i="3"/>
  <c r="U13" i="3"/>
  <c r="S13" i="3"/>
  <c r="V13" i="3" s="1"/>
  <c r="O13" i="3"/>
  <c r="M13" i="3"/>
  <c r="P13" i="3" s="1"/>
  <c r="J13" i="3"/>
  <c r="F12" i="3"/>
  <c r="D12" i="3"/>
  <c r="AB11" i="3"/>
  <c r="V11" i="3"/>
  <c r="O11" i="3"/>
  <c r="P11" i="3" s="1"/>
  <c r="J11" i="3"/>
  <c r="F11" i="3"/>
  <c r="M11" i="3" s="1"/>
  <c r="D11" i="3"/>
  <c r="O10" i="3"/>
  <c r="F10" i="3"/>
  <c r="D10" i="3"/>
  <c r="O9" i="3"/>
  <c r="J9" i="3"/>
  <c r="F9" i="3"/>
  <c r="F6" i="3"/>
  <c r="D6" i="3"/>
  <c r="AB5" i="3"/>
  <c r="AA5" i="3"/>
  <c r="U5" i="3"/>
  <c r="V5" i="3" s="1"/>
  <c r="S5" i="3"/>
  <c r="F5" i="3"/>
  <c r="Y5" i="3" s="1"/>
  <c r="AA2" i="3"/>
  <c r="Y2" i="3"/>
  <c r="AB2" i="3" s="1"/>
  <c r="U2" i="3"/>
  <c r="S2" i="3"/>
  <c r="V2" i="3" s="1"/>
  <c r="O2" i="3"/>
  <c r="P2" i="3" s="1"/>
  <c r="M2" i="3"/>
  <c r="F2" i="3"/>
  <c r="J2" i="3" s="1"/>
  <c r="D2" i="3"/>
  <c r="AB19" i="2"/>
  <c r="V19" i="2"/>
  <c r="P19" i="2"/>
  <c r="J19" i="2"/>
  <c r="F17" i="2"/>
  <c r="V17" i="2" s="1"/>
  <c r="D17" i="2"/>
  <c r="AB17" i="2" s="1"/>
  <c r="D15" i="2"/>
  <c r="F16" i="2" s="1"/>
  <c r="AA14" i="2"/>
  <c r="AB14" i="2" s="1"/>
  <c r="Y14" i="2"/>
  <c r="V14" i="2"/>
  <c r="U14" i="2"/>
  <c r="S14" i="2"/>
  <c r="O14" i="2"/>
  <c r="M14" i="2"/>
  <c r="P14" i="2" s="1"/>
  <c r="J14" i="2"/>
  <c r="AA13" i="2"/>
  <c r="Y13" i="2"/>
  <c r="AB13" i="2" s="1"/>
  <c r="U13" i="2"/>
  <c r="V13" i="2" s="1"/>
  <c r="S13" i="2"/>
  <c r="O13" i="2"/>
  <c r="P13" i="2" s="1"/>
  <c r="M13" i="2"/>
  <c r="J13" i="2"/>
  <c r="AB12" i="2"/>
  <c r="AA12" i="2"/>
  <c r="Y12" i="2"/>
  <c r="U12" i="2"/>
  <c r="S12" i="2"/>
  <c r="V12" i="2" s="1"/>
  <c r="O12" i="2"/>
  <c r="P12" i="2" s="1"/>
  <c r="M12" i="2"/>
  <c r="J12" i="2"/>
  <c r="F12" i="2"/>
  <c r="AB11" i="2"/>
  <c r="V11" i="2"/>
  <c r="F11" i="2"/>
  <c r="J11" i="2" s="1"/>
  <c r="F10" i="2"/>
  <c r="AA9" i="2"/>
  <c r="Y9" i="2"/>
  <c r="AB9" i="2" s="1"/>
  <c r="O9" i="2"/>
  <c r="M9" i="2"/>
  <c r="J9" i="2"/>
  <c r="F9" i="2"/>
  <c r="F6" i="2"/>
  <c r="M6" i="2" s="1"/>
  <c r="AA5" i="2"/>
  <c r="Y5" i="2"/>
  <c r="AB5" i="2" s="1"/>
  <c r="U5" i="2"/>
  <c r="J5" i="2"/>
  <c r="F5" i="2"/>
  <c r="F2" i="2"/>
  <c r="U2" i="2" s="1"/>
  <c r="AB17" i="12"/>
  <c r="V17" i="12"/>
  <c r="P17" i="12"/>
  <c r="J17" i="12"/>
  <c r="J15" i="12"/>
  <c r="F15" i="12"/>
  <c r="D15" i="12"/>
  <c r="AB15" i="12" s="1"/>
  <c r="L14" i="12"/>
  <c r="P14" i="12" s="1"/>
  <c r="L13" i="12"/>
  <c r="D13" i="12"/>
  <c r="F14" i="12" s="1"/>
  <c r="J14" i="12" s="1"/>
  <c r="AB12" i="12"/>
  <c r="AA12" i="12"/>
  <c r="Y12" i="12"/>
  <c r="U12" i="12"/>
  <c r="V12" i="12" s="1"/>
  <c r="S12" i="12"/>
  <c r="O12" i="12"/>
  <c r="M12" i="12"/>
  <c r="P12" i="12" s="1"/>
  <c r="J12" i="12"/>
  <c r="AA11" i="12"/>
  <c r="Y11" i="12"/>
  <c r="AB11" i="12" s="1"/>
  <c r="U11" i="12"/>
  <c r="V11" i="12" s="1"/>
  <c r="S11" i="12"/>
  <c r="P11" i="12"/>
  <c r="O11" i="12"/>
  <c r="M11" i="12"/>
  <c r="J11" i="12"/>
  <c r="AA10" i="12"/>
  <c r="Y10" i="12"/>
  <c r="AB10" i="12" s="1"/>
  <c r="U10" i="12"/>
  <c r="S10" i="12"/>
  <c r="V10" i="12" s="1"/>
  <c r="O10" i="12"/>
  <c r="P10" i="12" s="1"/>
  <c r="M10" i="12"/>
  <c r="J10" i="12"/>
  <c r="F9" i="12"/>
  <c r="AA6" i="12"/>
  <c r="U6" i="12"/>
  <c r="J6" i="12"/>
  <c r="F6" i="12"/>
  <c r="AA5" i="12"/>
  <c r="Y5" i="12"/>
  <c r="AB5" i="12" s="1"/>
  <c r="U5" i="12"/>
  <c r="S5" i="12"/>
  <c r="V5" i="12" s="1"/>
  <c r="O5" i="12"/>
  <c r="F5" i="12"/>
  <c r="M5" i="12" s="1"/>
  <c r="P5" i="12" s="1"/>
  <c r="AA2" i="12"/>
  <c r="Y2" i="12"/>
  <c r="AB2" i="12" s="1"/>
  <c r="U2" i="12"/>
  <c r="V2" i="12" s="1"/>
  <c r="S2" i="12"/>
  <c r="O2" i="12"/>
  <c r="P2" i="12" s="1"/>
  <c r="M2" i="12"/>
  <c r="J2" i="12"/>
  <c r="F2" i="12"/>
  <c r="V16" i="2" l="1"/>
  <c r="O16" i="2"/>
  <c r="M16" i="2"/>
  <c r="P16" i="2" s="1"/>
  <c r="AB16" i="2"/>
  <c r="J16" i="2"/>
  <c r="AB2" i="8"/>
  <c r="M5" i="10"/>
  <c r="AA5" i="10"/>
  <c r="Y5" i="10"/>
  <c r="AB5" i="10" s="1"/>
  <c r="U5" i="10"/>
  <c r="Y5" i="5"/>
  <c r="O5" i="5"/>
  <c r="AA5" i="5"/>
  <c r="AB9" i="7"/>
  <c r="AB5" i="4"/>
  <c r="P13" i="4"/>
  <c r="J5" i="5"/>
  <c r="J11" i="5"/>
  <c r="O11" i="5"/>
  <c r="M11" i="5"/>
  <c r="P11" i="5" s="1"/>
  <c r="J6" i="3"/>
  <c r="Y6" i="3"/>
  <c r="S6" i="3"/>
  <c r="O6" i="3"/>
  <c r="M6" i="3"/>
  <c r="P6" i="3" s="1"/>
  <c r="AA6" i="3"/>
  <c r="J17" i="3"/>
  <c r="V20" i="6"/>
  <c r="M15" i="7"/>
  <c r="P15" i="7" s="1"/>
  <c r="AB15" i="7"/>
  <c r="F20" i="9"/>
  <c r="AB14" i="13"/>
  <c r="AA9" i="12"/>
  <c r="U9" i="12"/>
  <c r="S9" i="12"/>
  <c r="V9" i="12" s="1"/>
  <c r="J15" i="7"/>
  <c r="S5" i="8"/>
  <c r="AA5" i="8"/>
  <c r="Y5" i="8"/>
  <c r="AB5" i="8" s="1"/>
  <c r="U5" i="8"/>
  <c r="AB6" i="8"/>
  <c r="P17" i="11"/>
  <c r="J5" i="10"/>
  <c r="O10" i="11"/>
  <c r="U10" i="11"/>
  <c r="S10" i="11"/>
  <c r="V10" i="11" s="1"/>
  <c r="V17" i="3"/>
  <c r="M5" i="5"/>
  <c r="P5" i="5" s="1"/>
  <c r="AB2" i="6"/>
  <c r="O5" i="10"/>
  <c r="AB24" i="10"/>
  <c r="V24" i="10"/>
  <c r="P24" i="10"/>
  <c r="J10" i="11"/>
  <c r="J14" i="13"/>
  <c r="F20" i="4"/>
  <c r="F21" i="4"/>
  <c r="J20" i="6"/>
  <c r="P17" i="8"/>
  <c r="J9" i="9"/>
  <c r="Y9" i="9"/>
  <c r="AB9" i="9" s="1"/>
  <c r="S9" i="9"/>
  <c r="V9" i="9" s="1"/>
  <c r="O9" i="9"/>
  <c r="M9" i="9"/>
  <c r="P9" i="9" s="1"/>
  <c r="AA9" i="9"/>
  <c r="J24" i="10"/>
  <c r="M10" i="11"/>
  <c r="P10" i="11" s="1"/>
  <c r="M14" i="13"/>
  <c r="P14" i="13" s="1"/>
  <c r="Y10" i="2"/>
  <c r="U10" i="2"/>
  <c r="S10" i="2"/>
  <c r="V10" i="2" s="1"/>
  <c r="O10" i="2"/>
  <c r="J10" i="2"/>
  <c r="M10" i="2"/>
  <c r="P10" i="2" s="1"/>
  <c r="Y10" i="11"/>
  <c r="M9" i="14"/>
  <c r="AB9" i="14"/>
  <c r="AB13" i="14" s="1"/>
  <c r="V9" i="14"/>
  <c r="J9" i="14"/>
  <c r="O9" i="14"/>
  <c r="AA10" i="2"/>
  <c r="U5" i="5"/>
  <c r="O20" i="6"/>
  <c r="AB21" i="9"/>
  <c r="V21" i="9"/>
  <c r="AA10" i="11"/>
  <c r="V14" i="13"/>
  <c r="J9" i="12"/>
  <c r="V15" i="3"/>
  <c r="AB15" i="3"/>
  <c r="O15" i="3"/>
  <c r="M10" i="4"/>
  <c r="U10" i="4"/>
  <c r="S10" i="4"/>
  <c r="V10" i="4" s="1"/>
  <c r="O10" i="4"/>
  <c r="O6" i="6"/>
  <c r="AA6" i="6"/>
  <c r="Y6" i="6"/>
  <c r="AB6" i="6" s="1"/>
  <c r="U6" i="6"/>
  <c r="M9" i="12"/>
  <c r="AB14" i="12"/>
  <c r="J6" i="2"/>
  <c r="J15" i="3"/>
  <c r="O9" i="12"/>
  <c r="M15" i="3"/>
  <c r="P15" i="3" s="1"/>
  <c r="M6" i="6"/>
  <c r="AB11" i="7"/>
  <c r="V11" i="7"/>
  <c r="J5" i="8"/>
  <c r="J25" i="8" s="1"/>
  <c r="J21" i="9"/>
  <c r="Y9" i="12"/>
  <c r="V15" i="12"/>
  <c r="P15" i="12"/>
  <c r="U9" i="2"/>
  <c r="S9" i="2"/>
  <c r="V9" i="2" s="1"/>
  <c r="M11" i="2"/>
  <c r="Y12" i="3"/>
  <c r="AA12" i="3"/>
  <c r="AA10" i="4"/>
  <c r="AB12" i="7"/>
  <c r="M5" i="8"/>
  <c r="P5" i="8" s="1"/>
  <c r="M21" i="9"/>
  <c r="P21" i="9" s="1"/>
  <c r="AB10" i="10"/>
  <c r="V2" i="11"/>
  <c r="AB18" i="11"/>
  <c r="F20" i="11"/>
  <c r="F21" i="11"/>
  <c r="AB5" i="13"/>
  <c r="V13" i="14"/>
  <c r="P6" i="13"/>
  <c r="AB16" i="5"/>
  <c r="V16" i="5"/>
  <c r="P16" i="5"/>
  <c r="J16" i="5"/>
  <c r="M20" i="6"/>
  <c r="O2" i="2"/>
  <c r="M2" i="2"/>
  <c r="P2" i="2" s="1"/>
  <c r="J2" i="2"/>
  <c r="AA2" i="2"/>
  <c r="S2" i="2"/>
  <c r="V2" i="2" s="1"/>
  <c r="F15" i="2"/>
  <c r="O15" i="7"/>
  <c r="Y2" i="2"/>
  <c r="AB2" i="2" s="1"/>
  <c r="O11" i="2"/>
  <c r="M10" i="3"/>
  <c r="P10" i="3" s="1"/>
  <c r="AA10" i="3"/>
  <c r="Y10" i="3"/>
  <c r="AB10" i="3" s="1"/>
  <c r="S10" i="3"/>
  <c r="U10" i="3"/>
  <c r="U12" i="3"/>
  <c r="J12" i="3"/>
  <c r="S12" i="3"/>
  <c r="V12" i="3" s="1"/>
  <c r="O12" i="3"/>
  <c r="M12" i="3"/>
  <c r="P12" i="3" s="1"/>
  <c r="S6" i="6"/>
  <c r="V6" i="6" s="1"/>
  <c r="V15" i="7"/>
  <c r="O5" i="8"/>
  <c r="O21" i="9"/>
  <c r="M5" i="11"/>
  <c r="P5" i="11" s="1"/>
  <c r="AA5" i="11"/>
  <c r="Y5" i="11"/>
  <c r="AB5" i="11" s="1"/>
  <c r="U5" i="11"/>
  <c r="S5" i="11"/>
  <c r="V5" i="11" s="1"/>
  <c r="O9" i="15"/>
  <c r="M9" i="15"/>
  <c r="P9" i="15" s="1"/>
  <c r="J9" i="15"/>
  <c r="F13" i="12"/>
  <c r="U6" i="3"/>
  <c r="AB17" i="3"/>
  <c r="S5" i="5"/>
  <c r="P2" i="8"/>
  <c r="S5" i="10"/>
  <c r="V5" i="10" s="1"/>
  <c r="V14" i="12"/>
  <c r="U6" i="2"/>
  <c r="S6" i="2"/>
  <c r="V6" i="2" s="1"/>
  <c r="O6" i="2"/>
  <c r="P6" i="2" s="1"/>
  <c r="AA6" i="2"/>
  <c r="Y6" i="2"/>
  <c r="Y10" i="4"/>
  <c r="S10" i="5"/>
  <c r="U10" i="5"/>
  <c r="O10" i="5"/>
  <c r="M10" i="5"/>
  <c r="P10" i="5" s="1"/>
  <c r="Y6" i="12"/>
  <c r="AB6" i="12" s="1"/>
  <c r="S6" i="12"/>
  <c r="V6" i="12" s="1"/>
  <c r="O6" i="12"/>
  <c r="M6" i="12"/>
  <c r="P6" i="12" s="1"/>
  <c r="P9" i="2"/>
  <c r="J10" i="3"/>
  <c r="J20" i="3" s="1"/>
  <c r="Y13" i="4"/>
  <c r="O13" i="4"/>
  <c r="AA13" i="4"/>
  <c r="U13" i="4"/>
  <c r="S13" i="4"/>
  <c r="Y10" i="5"/>
  <c r="AB10" i="5" s="1"/>
  <c r="M2" i="6"/>
  <c r="AA2" i="6"/>
  <c r="S2" i="6"/>
  <c r="V2" i="6" s="1"/>
  <c r="O2" i="6"/>
  <c r="J2" i="6"/>
  <c r="J25" i="6" s="1"/>
  <c r="U2" i="9"/>
  <c r="V2" i="9" s="1"/>
  <c r="AA2" i="9"/>
  <c r="Y2" i="9"/>
  <c r="AB2" i="9" s="1"/>
  <c r="V5" i="9"/>
  <c r="M13" i="9"/>
  <c r="P13" i="9" s="1"/>
  <c r="AA13" i="9"/>
  <c r="Y13" i="9"/>
  <c r="AB13" i="9" s="1"/>
  <c r="U13" i="9"/>
  <c r="S13" i="9"/>
  <c r="V13" i="9" s="1"/>
  <c r="U13" i="10"/>
  <c r="S13" i="10"/>
  <c r="V13" i="10" s="1"/>
  <c r="O13" i="10"/>
  <c r="M13" i="10"/>
  <c r="P13" i="10" s="1"/>
  <c r="AA13" i="10"/>
  <c r="Y13" i="10"/>
  <c r="AB13" i="10" s="1"/>
  <c r="J5" i="11"/>
  <c r="U6" i="13"/>
  <c r="S6" i="13"/>
  <c r="O6" i="13"/>
  <c r="AA6" i="13"/>
  <c r="Y6" i="13"/>
  <c r="AB6" i="13" s="1"/>
  <c r="M8" i="14"/>
  <c r="P8" i="14" s="1"/>
  <c r="J8" i="14"/>
  <c r="J13" i="14" s="1"/>
  <c r="F8" i="15"/>
  <c r="AA13" i="11"/>
  <c r="Y13" i="11"/>
  <c r="V15" i="13"/>
  <c r="P15" i="13"/>
  <c r="J15" i="13"/>
  <c r="M2" i="5"/>
  <c r="Y2" i="5"/>
  <c r="AB2" i="5" s="1"/>
  <c r="U2" i="5"/>
  <c r="S2" i="5"/>
  <c r="V2" i="5" s="1"/>
  <c r="O5" i="6"/>
  <c r="Y5" i="6"/>
  <c r="AB5" i="6" s="1"/>
  <c r="U5" i="6"/>
  <c r="S5" i="6"/>
  <c r="V5" i="6" s="1"/>
  <c r="J2" i="10"/>
  <c r="Y2" i="10"/>
  <c r="U2" i="10"/>
  <c r="S2" i="10"/>
  <c r="V2" i="10" s="1"/>
  <c r="O2" i="10"/>
  <c r="J6" i="10"/>
  <c r="O9" i="11"/>
  <c r="S9" i="11"/>
  <c r="V9" i="11" s="1"/>
  <c r="M9" i="11"/>
  <c r="P9" i="11" s="1"/>
  <c r="J9" i="11"/>
  <c r="J13" i="11"/>
  <c r="J5" i="12"/>
  <c r="P13" i="12"/>
  <c r="AB22" i="4"/>
  <c r="V22" i="4"/>
  <c r="J2" i="5"/>
  <c r="F14" i="5"/>
  <c r="J5" i="6"/>
  <c r="AA2" i="7"/>
  <c r="Y2" i="7"/>
  <c r="AB2" i="7" s="1"/>
  <c r="U10" i="7"/>
  <c r="J10" i="7"/>
  <c r="S10" i="7"/>
  <c r="V10" i="7" s="1"/>
  <c r="O10" i="7"/>
  <c r="AB21" i="8"/>
  <c r="V21" i="8"/>
  <c r="M2" i="10"/>
  <c r="P2" i="10" s="1"/>
  <c r="U9" i="11"/>
  <c r="M13" i="11"/>
  <c r="J24" i="11"/>
  <c r="M6" i="10"/>
  <c r="P6" i="10" s="1"/>
  <c r="AA6" i="10"/>
  <c r="Y6" i="10"/>
  <c r="AB6" i="10" s="1"/>
  <c r="J21" i="10"/>
  <c r="AB21" i="10"/>
  <c r="V21" i="10"/>
  <c r="Y6" i="5"/>
  <c r="AB6" i="5" s="1"/>
  <c r="O6" i="5"/>
  <c r="M21" i="6"/>
  <c r="AB21" i="6"/>
  <c r="V21" i="6"/>
  <c r="M21" i="10"/>
  <c r="P21" i="10" s="1"/>
  <c r="S5" i="2"/>
  <c r="V5" i="2" s="1"/>
  <c r="O5" i="2"/>
  <c r="M5" i="2"/>
  <c r="P5" i="2" s="1"/>
  <c r="M9" i="3"/>
  <c r="P9" i="3" s="1"/>
  <c r="P20" i="3" s="1"/>
  <c r="AA9" i="3"/>
  <c r="Y9" i="3"/>
  <c r="U9" i="3"/>
  <c r="S9" i="3"/>
  <c r="V9" i="3" s="1"/>
  <c r="U5" i="4"/>
  <c r="V5" i="4" s="1"/>
  <c r="J5" i="4"/>
  <c r="AA5" i="4"/>
  <c r="O2" i="5"/>
  <c r="M6" i="5"/>
  <c r="P6" i="5" s="1"/>
  <c r="M5" i="6"/>
  <c r="P5" i="6" s="1"/>
  <c r="P9" i="6"/>
  <c r="O21" i="6"/>
  <c r="P10" i="7"/>
  <c r="AA2" i="8"/>
  <c r="U2" i="8"/>
  <c r="S2" i="8"/>
  <c r="V2" i="8" s="1"/>
  <c r="O2" i="8"/>
  <c r="S6" i="8"/>
  <c r="V6" i="8" s="1"/>
  <c r="AA6" i="8"/>
  <c r="V22" i="9"/>
  <c r="AB22" i="9"/>
  <c r="P22" i="9"/>
  <c r="J2" i="11"/>
  <c r="Y2" i="11"/>
  <c r="AA2" i="11"/>
  <c r="U2" i="11"/>
  <c r="O13" i="11"/>
  <c r="P24" i="11"/>
  <c r="AB13" i="13"/>
  <c r="V13" i="13"/>
  <c r="O13" i="13"/>
  <c r="M13" i="13"/>
  <c r="P13" i="13" s="1"/>
  <c r="O16" i="3"/>
  <c r="AB16" i="3"/>
  <c r="V16" i="3"/>
  <c r="M16" i="3"/>
  <c r="P16" i="3" s="1"/>
  <c r="V15" i="4"/>
  <c r="AA2" i="5"/>
  <c r="P15" i="6"/>
  <c r="P2" i="7"/>
  <c r="AB5" i="7"/>
  <c r="M16" i="7"/>
  <c r="O16" i="7"/>
  <c r="J16" i="7"/>
  <c r="P15" i="8"/>
  <c r="P21" i="8"/>
  <c r="J10" i="9"/>
  <c r="Y10" i="9"/>
  <c r="AB10" i="9" s="1"/>
  <c r="U10" i="9"/>
  <c r="S10" i="9"/>
  <c r="P14" i="9"/>
  <c r="AA2" i="10"/>
  <c r="S6" i="10"/>
  <c r="V6" i="10" s="1"/>
  <c r="Y9" i="11"/>
  <c r="AB9" i="11" s="1"/>
  <c r="S13" i="11"/>
  <c r="V13" i="11" s="1"/>
  <c r="V10" i="13"/>
  <c r="U9" i="7"/>
  <c r="V9" i="7" s="1"/>
  <c r="V20" i="7" s="1"/>
  <c r="J9" i="7"/>
  <c r="J17" i="2"/>
  <c r="J5" i="3"/>
  <c r="AB14" i="3"/>
  <c r="J9" i="4"/>
  <c r="J10" i="8"/>
  <c r="V17" i="8"/>
  <c r="J10" i="10"/>
  <c r="J5" i="13"/>
  <c r="J18" i="13" s="1"/>
  <c r="J5" i="15"/>
  <c r="P17" i="2"/>
  <c r="M5" i="3"/>
  <c r="P5" i="3" s="1"/>
  <c r="V14" i="6"/>
  <c r="M10" i="10"/>
  <c r="P10" i="10" s="1"/>
  <c r="M6" i="11"/>
  <c r="P6" i="11" s="1"/>
  <c r="AA6" i="11"/>
  <c r="AB6" i="11" s="1"/>
  <c r="M5" i="13"/>
  <c r="P5" i="13" s="1"/>
  <c r="M5" i="15"/>
  <c r="O5" i="3"/>
  <c r="U6" i="4"/>
  <c r="V6" i="4" s="1"/>
  <c r="J6" i="4"/>
  <c r="V19" i="4"/>
  <c r="P9" i="5"/>
  <c r="V13" i="7"/>
  <c r="V13" i="8"/>
  <c r="P18" i="9"/>
  <c r="J9" i="10"/>
  <c r="J6" i="11"/>
  <c r="M2" i="13"/>
  <c r="P2" i="13" s="1"/>
  <c r="AA2" i="13"/>
  <c r="AB2" i="13" s="1"/>
  <c r="AB18" i="13" s="1"/>
  <c r="P11" i="13"/>
  <c r="O5" i="15"/>
  <c r="AB7" i="15"/>
  <c r="J25" i="9" l="1"/>
  <c r="P25" i="11"/>
  <c r="AB19" i="5"/>
  <c r="P25" i="8"/>
  <c r="J21" i="11"/>
  <c r="V21" i="11"/>
  <c r="O21" i="11"/>
  <c r="M21" i="11"/>
  <c r="P21" i="11" s="1"/>
  <c r="AB21" i="11"/>
  <c r="P16" i="7"/>
  <c r="P13" i="11"/>
  <c r="M14" i="5"/>
  <c r="AB14" i="5"/>
  <c r="V14" i="5"/>
  <c r="O14" i="5"/>
  <c r="J14" i="5"/>
  <c r="J19" i="5" s="1"/>
  <c r="P2" i="5"/>
  <c r="V6" i="13"/>
  <c r="V18" i="13" s="1"/>
  <c r="V13" i="4"/>
  <c r="V25" i="4" s="1"/>
  <c r="V5" i="5"/>
  <c r="J20" i="2"/>
  <c r="O20" i="11"/>
  <c r="M20" i="11"/>
  <c r="P20" i="11" s="1"/>
  <c r="J20" i="11"/>
  <c r="AB20" i="11"/>
  <c r="V20" i="11"/>
  <c r="V25" i="11" s="1"/>
  <c r="AB10" i="2"/>
  <c r="V21" i="4"/>
  <c r="J21" i="4"/>
  <c r="AB21" i="4"/>
  <c r="M21" i="4"/>
  <c r="O21" i="4"/>
  <c r="AB20" i="9"/>
  <c r="AB25" i="9" s="1"/>
  <c r="J20" i="9"/>
  <c r="V20" i="9"/>
  <c r="O20" i="9"/>
  <c r="M20" i="9"/>
  <c r="P20" i="9" s="1"/>
  <c r="P25" i="9" s="1"/>
  <c r="AB2" i="11"/>
  <c r="J25" i="11"/>
  <c r="J20" i="7"/>
  <c r="V25" i="6"/>
  <c r="P2" i="6"/>
  <c r="AB12" i="3"/>
  <c r="V5" i="8"/>
  <c r="P10" i="4"/>
  <c r="V25" i="10"/>
  <c r="V10" i="3"/>
  <c r="AB20" i="4"/>
  <c r="AB25" i="4" s="1"/>
  <c r="V20" i="4"/>
  <c r="O20" i="4"/>
  <c r="M20" i="4"/>
  <c r="J20" i="4"/>
  <c r="J25" i="4" s="1"/>
  <c r="O8" i="15"/>
  <c r="AB8" i="15"/>
  <c r="AB13" i="15" s="1"/>
  <c r="V8" i="15"/>
  <c r="V13" i="15" s="1"/>
  <c r="M8" i="15"/>
  <c r="P8" i="15" s="1"/>
  <c r="J8" i="15"/>
  <c r="J13" i="15" s="1"/>
  <c r="P5" i="10"/>
  <c r="P25" i="10" s="1"/>
  <c r="AB25" i="6"/>
  <c r="AB15" i="2"/>
  <c r="V15" i="2"/>
  <c r="V20" i="2" s="1"/>
  <c r="O15" i="2"/>
  <c r="M15" i="2"/>
  <c r="P15" i="2" s="1"/>
  <c r="J15" i="2"/>
  <c r="V10" i="5"/>
  <c r="V19" i="5" s="1"/>
  <c r="V6" i="3"/>
  <c r="AB5" i="5"/>
  <c r="AB10" i="11"/>
  <c r="AB20" i="7"/>
  <c r="AB25" i="8"/>
  <c r="P11" i="2"/>
  <c r="P20" i="2" s="1"/>
  <c r="AB10" i="4"/>
  <c r="P20" i="6"/>
  <c r="P9" i="14"/>
  <c r="P13" i="14" s="1"/>
  <c r="AB6" i="3"/>
  <c r="P6" i="6"/>
  <c r="P21" i="6"/>
  <c r="P20" i="7"/>
  <c r="V25" i="8"/>
  <c r="P5" i="15"/>
  <c r="P13" i="15" s="1"/>
  <c r="AB2" i="10"/>
  <c r="AB25" i="10" s="1"/>
  <c r="P9" i="12"/>
  <c r="P18" i="12" s="1"/>
  <c r="P18" i="13"/>
  <c r="V10" i="9"/>
  <c r="V25" i="9" s="1"/>
  <c r="AB9" i="3"/>
  <c r="J25" i="10"/>
  <c r="AB13" i="11"/>
  <c r="AB13" i="4"/>
  <c r="AB6" i="2"/>
  <c r="AB20" i="2" s="1"/>
  <c r="AB13" i="12"/>
  <c r="AB18" i="12" s="1"/>
  <c r="V13" i="12"/>
  <c r="V18" i="12" s="1"/>
  <c r="J13" i="12"/>
  <c r="J18" i="12" s="1"/>
  <c r="AB9" i="12"/>
  <c r="AB25" i="11" l="1"/>
  <c r="P14" i="5"/>
  <c r="V20" i="3"/>
  <c r="P25" i="6"/>
  <c r="P21" i="4"/>
  <c r="AB20" i="3"/>
  <c r="P20" i="4"/>
  <c r="P25" i="4" s="1"/>
  <c r="P19" i="5"/>
</calcChain>
</file>

<file path=xl/sharedStrings.xml><?xml version="1.0" encoding="utf-8"?>
<sst xmlns="http://schemas.openxmlformats.org/spreadsheetml/2006/main" count="2153" uniqueCount="527">
  <si>
    <t>pilar_nombre</t>
  </si>
  <si>
    <t>pilar_peso</t>
  </si>
  <si>
    <t>indicador_nombre</t>
  </si>
  <si>
    <t>indicador_peso</t>
  </si>
  <si>
    <t>subindicador_nombre</t>
  </si>
  <si>
    <t>subindicador_peso</t>
  </si>
  <si>
    <t>criterio_nombre</t>
  </si>
  <si>
    <t>criterio_rango</t>
  </si>
  <si>
    <t>evaluacion_resultado_detalle_puntaje_mes_junio</t>
  </si>
  <si>
    <t>evaluacion_resultado_detalle_ponderado_mes_junio</t>
  </si>
  <si>
    <t>evaluacion_resultado_observacion_junio</t>
  </si>
  <si>
    <t>evaluacion_resultado_detalle_puntaje_mes_julio</t>
  </si>
  <si>
    <t>evaluacion_resultado_detalle_ponderado_mes_julio</t>
  </si>
  <si>
    <t>evaluacion_resultado_detalle_puntaje_mes_agosto</t>
  </si>
  <si>
    <t>evaluacion_resultado_detalle_ponderado_mes_agosto</t>
  </si>
  <si>
    <t>ponderacion_bimestre_julio_agosto</t>
  </si>
  <si>
    <t>evaluacion_resultado_observacion_bimestre_julio_agosto</t>
  </si>
  <si>
    <t>evaluacion_resultado_detalle_puntaje_mes_septiembre</t>
  </si>
  <si>
    <t>evaluacion_resultado_detalle_ponderado_mes_septiembre</t>
  </si>
  <si>
    <t>evaluacion_resultado_detalle_puntaje_mes_octubre</t>
  </si>
  <si>
    <t>evaluacion_resultado_detalle_ponderado_mes_octubre</t>
  </si>
  <si>
    <t>ponderacion_bimestre_septiembre_octubre</t>
  </si>
  <si>
    <t>evaluacion_resultado_observacion_bimestre_septiembre_octubre</t>
  </si>
  <si>
    <t>evaluacion_resultado_detalle_puntaje_mes_noviembre</t>
  </si>
  <si>
    <t>evaluacion_resultado_detalle_ponderado_mes_noviembre</t>
  </si>
  <si>
    <t>evaluacion_resultado_detalle_puntaje_mes_diciembre</t>
  </si>
  <si>
    <t>evaluacion_resultado_detalle_ponderado_mes_diciembre</t>
  </si>
  <si>
    <t>ponderacion_bimestre_noviembre_diciembre</t>
  </si>
  <si>
    <t>evaluacion_resultado_observacion_bimestre_noviembre_diciembre</t>
  </si>
  <si>
    <t>tipo_calculo</t>
  </si>
  <si>
    <t>Reporte</t>
  </si>
  <si>
    <t>PIIP</t>
  </si>
  <si>
    <t>Tiempo</t>
  </si>
  <si>
    <t>Antes de tiempo</t>
  </si>
  <si>
    <t>No realizó reporte</t>
  </si>
  <si>
    <t>Realizó el cargue del mes de julio el ultimo dia, lo que le otorga una calificación de 80%.
Para el mes de agosto no realizó cargue de información en la PIIP.</t>
  </si>
  <si>
    <t>No realizó el cargue del proyecto que requiere reporte, por lo tanto se le da la califición de 0%</t>
  </si>
  <si>
    <t>No se realizó reporte de avance de ejecución en el bimestre.</t>
  </si>
  <si>
    <t>mensual</t>
  </si>
  <si>
    <t>A tiempo</t>
  </si>
  <si>
    <t>Despues de tiempo = No reportar</t>
  </si>
  <si>
    <t>Información Completa</t>
  </si>
  <si>
    <t>De acuerdo con el porcentaje de proyectos en ejecución de los que se reporte información completa y clara.</t>
  </si>
  <si>
    <t>0 - 100%</t>
  </si>
  <si>
    <t>No realizó el cargue completo de la información, por lo que se le da una calificación del 50%.
Para el mes de agosto no realizó cargue de información en la PIIP.</t>
  </si>
  <si>
    <t>No realizó el cargue de información del proyecto que requiere reporte, por lo tanto se le da la califición del 0%</t>
  </si>
  <si>
    <t>Portafolio</t>
  </si>
  <si>
    <t>Se califica el mayor puntaje, considerando que se realizó la actualización del portafolio antes de la fecha requerida para su informe.
A partir del mes de agosto, donde se medirá Julio. Se tendrán en cuenta que todas las columnas correspondientes estén diligenciadas, tanto para efectos de la medición del modelo como para el sistema de alertas.</t>
  </si>
  <si>
    <t>Se califica con 80% para  ambos cortes, considerando que la dependencia realizó la actualización del portafolio  después de tiempo.</t>
  </si>
  <si>
    <t>Se califica con 50% para  ambos cortes, considerando que la dependencia realizó la actualización del portafolio  después de tiempo.</t>
  </si>
  <si>
    <t>Se califica con 50% para  ambos cortes, considerando que la dependencia realizó la actualización del portafolio  después de tiempo solicitado.</t>
  </si>
  <si>
    <t>Se diligencio la información requerida respecto a la ejecución en el mes de junio.</t>
  </si>
  <si>
    <t>Se califica con 80% para el corte de 31 de julio y 0% para el corte de 31 de agosto, considerando que la dependencia No realizó la actualización del portafolio antes de la fecha requerida para su informe mensual, Cabe resaltar que existen casillas por diligenciar de acuerdo a los nuevos parámetros establecidos durante el mes de junio  de 2025 por lo cual se le asigna  ésta calificación.</t>
  </si>
  <si>
    <t>Se califica con 50% para ambos periodos evaluados  considerando que la dependencia No realizó la actualización del portafolio antes de la fecha requerida para su informe mensual, Cabe resaltar que existen casillas por diligenciar de acuerdo a los nuevos parámetros establecidos durante el mes de junio  de 2025  y la tabla del comparativo de proyectos se encuentra desactualizada por el mes de junio de 2025  por lo cual se le asigna  ésta calificación.</t>
  </si>
  <si>
    <t>Se califica con 50% para ambos periodos evaluados  considerando que la dependencia No realizó la actualización del portafolio antes de la fecha requerida para su informe mensual y no fué posible hacerle el seguimiento a portafolio en el mes de noviembre por no presentarse a  la visita programada</t>
  </si>
  <si>
    <t>Ciclos de Gerencia</t>
  </si>
  <si>
    <t>Indice de Cumplimiento a la Programación - PIIP</t>
  </si>
  <si>
    <t>Promedio del Índice mensual de acuerdo con la ejecución física cargada</t>
  </si>
  <si>
    <t>Teniendo en cuenta  los criterios evaluados en el Indicador de Reporte, en el que se realiza el cargue completo de los proyectos antes del tiempo establecido, se otorga la calificación del 80% Para el mes de julio y 0% para el mes de agosto.
Esto considerando que aún la PIIP no está generando la medición del Índice de Cumplimiento a la Programación.</t>
  </si>
  <si>
    <t>Teniendo en cuenta  los criterios evaluados en el Indicador de Reporte, en el que se realiza el cargue completo de los proyectos antes del tiempo establecido, se otorga la calificación del 0%.
Esto considerando que aún la PIIP no está generando la medición del Índice de Cumplimiento a la Programación.</t>
  </si>
  <si>
    <t>Suspendidos</t>
  </si>
  <si>
    <t>% de proyectos en ejecución suspendidos</t>
  </si>
  <si>
    <t>(1- de proyectos en ejecución suspendidos que sean supervisados por la dependencia/Proyectos en ejecución por la dependencia) *100</t>
  </si>
  <si>
    <t>No se evidencian proyectos suspendidos a fecha del 30 de Junio, se encuentra Un (1) proyecto en ejecución.</t>
  </si>
  <si>
    <t>La calificación es del 100% para ambos cortes  .                                                                                                                                 Se realizó la medición desde el periodo 2024 a  corte de 31 de Julio de 2025; En esa fecha contaba con (3) proyectos en ejecución, 0 suspendido.                                                                                                                                                      A corte de 31  de Agosto de 2025:Tuvo  0 proyectos suspendidos   y 3 proyectos en ejecución.</t>
  </si>
  <si>
    <t>Se  realizó la medición desde el periodo 2024 a corte de  30 de septiembre y 31 de octubre  de 2025  en ambos periodos tenia  0 proyectos suspendidos hasta  la fecha.</t>
  </si>
  <si>
    <t>Se  realizó la medición desde el periodo 2024 a corte de  30 de noviembre y 31 de diciembre  de 2025  en ambos periodos tenia  0 proyectos suspendidos hasta  la fecha.</t>
  </si>
  <si>
    <t>Sin Liquidar</t>
  </si>
  <si>
    <t>% de Proyectos terminados sin liquidar</t>
  </si>
  <si>
    <t>Total proyectos liquidados/Total proyectos aptos para liquidar (Acta Final)</t>
  </si>
  <si>
    <t>Se realizó la medición desde el periodo 2024 a corte de 30 de Junio en  la cual se determinó que la deprendencia cuenta con 4 proyectos en proceso de liquidación, 1 proyecto que cuenta con acta final y 1 liquidado</t>
  </si>
  <si>
    <t>Se realizó la medición desde el período 2024 a corte del 31 de Agosto de 2025, determinando que la dependencia cuenta con 1 proyecto liquidado, 4 en proceso de liquidación, y 1 en Acta Final de acuerdo con lo reportado en Portafolio para ambos períodos.</t>
  </si>
  <si>
    <t>Se realizó la medición desde el período 2024 a corte del septiembre y octubre  de 2025, determinando que la dependencia  para amboa periodos cuenta con 0 proyectos liquidados y 4 en proceso de liquidación y 1 con acta final de acuerdo con lo reportado en Portafolio para ambos períodos.</t>
  </si>
  <si>
    <t>Se realizó la medición desde el período 2024 a corte de noviembre y diciembre de 2025, determinando que la dependencia cuenta con 0 proyectos liquidados y 4 en proceso de liquidación y 1 con acta final de acuerdo con lo reportado en Portafolio para ambos períodos.</t>
  </si>
  <si>
    <t>Otros Mecanismos de Financiación</t>
  </si>
  <si>
    <t>Convocatorias: Nacionales y Cooperación Internacional</t>
  </si>
  <si>
    <t>Eficacia en la Postulación a Convocatorias</t>
  </si>
  <si>
    <t>(Número de Convocatorias Postuladas / Número de Convocatorias Mapeadas susceptibles a postulación)*100</t>
  </si>
  <si>
    <t>1. La dependecia obtuvo 100% en este parámetro sin embargo, obtuvo 3 penalizaciones, 1 por no entrega de informacion, 1 por no entrega de soportes y 1 por informacion incompleta.</t>
  </si>
  <si>
    <t>Comentarios 
1. El mecanismo de Obras por Impuestos contaba con una línea de inversión para postular proyectos de su dependencia, sin embargo, no se realizó dicha postulación.
2. La dependencia no remitió informacion que permitiera evaluar desempeño respecto a la gestion de otros mecanismos de financiacion.
3. la información dispuesta en el Reporte de Gestión del Portafolio no permite evaluar el desempeño respecto los períodos de evaluacion de la medición.</t>
  </si>
  <si>
    <t>Septiembre - Octubre
1. En el período desde el componente de Otros Mecanismos de Financiación  y cruzando la información de la CRC se identificó la Convocatoria de la Fundación FEMSA.
2. Se tuvo en cuenta el reporte de gestiones, un Foro realizado y la intervención de la "Casa de la Memoria"
3. Formula Eficacia ((2/3)*100)= 66,67%
4. Formula Eficiencia ((2/2)*100)=100,00%</t>
  </si>
  <si>
    <t>Noviembre
1. En el período comprendido entre noviembre y diciembre de 2025, desde el componente de registro de convocatorias se realizó el cruce de información con la CRC.
2. Formula Eficacia ((0/1)*100)=0%
3. Formula Eficiencia ((0/1)*100)=0%
Diciembre
1. En el período comprendido entre noviembre y diciembre de 2025, desde el componente de registro de convocatorias se realizó el cruce de información con la CRC.
2. Formula Eficacia ((0/1)*100)=0%
3. Formula Eficiencia ((0/1)*100)=0%
En el período comprendido entre noviembre y diciembre de 2025, desde el componente de registro de convocatorias y a partir del cruce de información con la CRC, se identificó que durante ese tiempo se encontraba disponible la convocatoria de la Fundación FEMSA en la línea de Arte y Cultura,  No obstante, la dependencia no reportó información dentro de los plazos establecidos</t>
  </si>
  <si>
    <t>directo a partir de septiembre</t>
  </si>
  <si>
    <t>Eficiencia en la Postulación a Convocatorias</t>
  </si>
  <si>
    <t>(Número de Convocatorias Ganadas / Número de Convocatorias Postuladas)*100</t>
  </si>
  <si>
    <t>1. A fecha de corte del presente informe, no se reportan convocatorias y/o gestiones cuya culminación fuera exitosa.
2. Sobre las convocatorias vigentes y/o activas, una vez se generen los resultados deberan reportarse, par lo cual se deberán atender las mesas de acompañamiento a otros mecanismos para registro de Seguimiento.</t>
  </si>
  <si>
    <t>Cumplimiento de Metas</t>
  </si>
  <si>
    <t>Financiación de metas sin recursos</t>
  </si>
  <si>
    <t>Gestión: Lograr a través de la Gestión de recursos o a Gestión sin recursos apalanca el cumplimiento de las metas desfinanciadas.</t>
  </si>
  <si>
    <t>¿Disminuyó el porcentaje de metas desfinanciadas? / (% de metas desfinanciadas periodo n - % de metas desfinanciadas período n-1)&gt; 0</t>
  </si>
  <si>
    <t>De acuerdo con análisis realizado de las metas desfinanciadas, la dependencia  demostró un aumento en la gestión de sus metas desfinanciadas con respecto a lo proyectado desde enero 2025.</t>
  </si>
  <si>
    <t>De acuerdo con análisis realizado de las metas desfinanciadas, la dependencia demostró un aumento  en la gestión de sus metas desfinanciadas con respecto al último período de medición.</t>
  </si>
  <si>
    <t>De acuerdo con análisis realizado de las metas , la dependencia demostró un aumento  en la gestión de sus metas desfinanciadas con respecto al período anterior</t>
  </si>
  <si>
    <t>directo a partir de julio</t>
  </si>
  <si>
    <t>¿No disminuyó el porcentaje de metas desfinanciadas? / (% de metas desfinanciadas periodo n - % de metas desfinanciadas período n-1) &lt;= 0</t>
  </si>
  <si>
    <t>Cumplimiento de las metas</t>
  </si>
  <si>
    <t>Cumplimiento Acumulado: Avance en el tiempo de las metas programadas para la vigencia</t>
  </si>
  <si>
    <t>% de Avance acumulado en el cumplimiento de metas</t>
  </si>
  <si>
    <t>De acuerdo con el Seguimiento realizado a Plan Indicativo, y el reporte de la dependencia, el avance en la ejecución de las metas del PDD a cargo de la dependencia para la Vigencia 2025, es de 29,13% a corte de 30 de Junio.</t>
  </si>
  <si>
    <t>De acuerdo con el Seguimiento realizado a Plan Indicativo, y el reporte de la Secretaría, el avance acumulado en la ejecución de las metas del PDD a cargo de la dependencia  para la Vigencia 2025, es de 49,96% a corte de 31 de Agosto.</t>
  </si>
  <si>
    <t>De acuerdo con el Seguimiento realizado a Plan Indicativo, y el reporte de la Secretaría, el avance acumulado en la ejecución de las metas del PDD a cargo de la dependencia  para la Vigencia 2025, es de 100.00% a corte de 31 de Octubre.</t>
  </si>
  <si>
    <t>De acuerdo con el Seguimiento realizado a Plan Indicativo, y el reporte de la Secretaría, el avance en la ejecución de las metas del PDD a cargo de la dependencia  para la Vigencia 2025, es de 100.00% a corte de 31 de Diciembre.</t>
  </si>
  <si>
    <t>Puntaje</t>
  </si>
  <si>
    <t>Dependencia</t>
  </si>
  <si>
    <t>Categoría</t>
  </si>
  <si>
    <t>Salud</t>
  </si>
  <si>
    <t>Categoría 1</t>
  </si>
  <si>
    <t>Infraestructura</t>
  </si>
  <si>
    <t>Interior</t>
  </si>
  <si>
    <t>Educación</t>
  </si>
  <si>
    <t>Aguas de Sucre</t>
  </si>
  <si>
    <t>Desarrollo Económico</t>
  </si>
  <si>
    <t>Energía</t>
  </si>
  <si>
    <t>Categoría 2</t>
  </si>
  <si>
    <t>Indersucre</t>
  </si>
  <si>
    <t>Fondo Mixto</t>
  </si>
  <si>
    <t>Unidad del Riesgo</t>
  </si>
  <si>
    <t>Categoría 3</t>
  </si>
  <si>
    <t>Bellas Artes</t>
  </si>
  <si>
    <t>Tránsito</t>
  </si>
  <si>
    <t>Oficina TIC</t>
  </si>
  <si>
    <t>Inclusión Social</t>
  </si>
  <si>
    <t>Se otorga esta puntuación teniendo en cuenta que de los 8 proyectos que debian reportar 1 no fue reportado a tiempo</t>
  </si>
  <si>
    <t>Se realiza el cargue completo de los proyectos que requieren reporte antes del tiempo establecido, por lo tanto se le da la califición del 100%</t>
  </si>
  <si>
    <t>Se cargaron los documentos que soportan la ejecución, tales como : Contratos, CDP´s, RP´s, Acta de inicio, Informes de avance, comprobante de pago, entre otros</t>
  </si>
  <si>
    <t>Se realiza el cargue completo de información de los proyectos que requieren reporte antes del tiempo establecido, por lo tanto se le da la califición del 100%</t>
  </si>
  <si>
    <t>Se califica el mayor puntaje, considerando que se realizó la actualización del portafolio antes de la fecha requerida para su informe. A partir del mes de agosto, donde se medirá Julio. Se tendrán en cuenta que todas las columnas correspondientes estén diligenciadas, tanto para efectos de la medición del modelo como para el sistema de alertas.</t>
  </si>
  <si>
    <t>Se califica con el mayor puntaje  para ambos periodos, considerando que la dependencia realizó la actualización del portafolio antes de la fecha requerida para su informe mensual.</t>
  </si>
  <si>
    <t>Se realizo la verificación de la informacion de acuerdo a los proyectos en ejecución en la cual se evidencia que para el mes de junio cuenta con la información completa, . A partir del mes de agosto, donde se medirá Julio. Se tendrán en cuenta que todas las columnas correspondientes estén diligenciadas, tanto para efectos de la medición del modelo como para el sistema de alertas.</t>
  </si>
  <si>
    <t>Se califica con el mayor puntaje  para ambos periodos, considerando que la dependencia realizó la actualización del portafolio antes de la fecha requerida para su informe mensual, ésto sugiere que  ha cumplido con los requisitos de actualización y reporte de manera oportuna y eficiente, lo que ha contribuido a obtener la máxima calificación en ambos periodos.</t>
  </si>
  <si>
    <t>Se califica con el puntaje de  90% para  ambos periodos, considerando que la dependencia realizó la actualización del portafolio antes de la fecha requerida para su informe mensual, pero  se encuentran  pendientes por diligenciar las  casillas que  fueron resaltadas  el día de la revisión de portafolio  en color amarillo, se sugiere actualizar la información  con prontitud..</t>
  </si>
  <si>
    <t>Se califica con el mayor puntaje para  ambos periodos, considerando que la dependencia realizó la actualización del portafolio antes de la fecha requerida y por haber  diligenciado  las casillas que  tenian pendiente información.</t>
  </si>
  <si>
    <t>Considerando que aún la PIIP no está generando la medición del Índice de Cumplimiento a la Programación, se asignó la puntuación, De conformidad a los criterios evaluados en el Indicador de Reporte.</t>
  </si>
  <si>
    <t>Teniendo en cuenta los criterios evaluados en el Indicador de Reporte, en el que se realiza el cargue completo de los proyectos antes del tiempo establecido, se otorga la calificación del 100%.
Esto considerando que aún la PIIP no está generando la medición del Índice de Cumplimiento a la Programación, se asignó la puntuación</t>
  </si>
  <si>
    <t>Teniendo en cuenta  los criterios evaluados en el Indicador de Reporte, en el que se realiza el cargue completo de los proyectos antes del tiempo establecido, se otorga la calificación del 100%.
Esto considerando que aún la PIIP no está generando la medición del Índice de Cumplimiento a la Programación.</t>
  </si>
  <si>
    <t>Estratégicos</t>
  </si>
  <si>
    <t>Indice de Cumplimiento a la Programación etapa previa a asignación de recursos y ejecución - ESTRATÉGICOS</t>
  </si>
  <si>
    <t>Indice mensual de acuerdo con la ejecución física cargada</t>
  </si>
  <si>
    <t>Solo se realizó una reunion del mes de junio porque no se conecta a las reuniones. 
Este puntaje es de fecha 12 de junio y corresponde al promedio del cumplimiento del cronograma para cada proyecto estratégico.</t>
  </si>
  <si>
    <t>Indice de Rendimiento de la Programación a corte de Octubre de 2025, considerando que no hubo seguimiento permanente en los meses reportados para esta medición.</t>
  </si>
  <si>
    <t>Indice de Rendimiento de la Programación a corte de Octubre de 2025.</t>
  </si>
  <si>
    <t>Indice de Rendimiento de la Programación a corte de Diciembre de 2025.</t>
  </si>
  <si>
    <t>Aliados (Invisibles)</t>
  </si>
  <si>
    <t>Actualización de información - ALIADOS (Invisibles)</t>
  </si>
  <si>
    <t>% de proyectos Invisibles con Información completa en Portafolio</t>
  </si>
  <si>
    <t>Cuenta con un proyecto aliado registrado, con información completa.
A partir del mes de agosto, donde se medirá Julio. Se tendrán en cuenta que todas las columnas correspondientes estén diligenciadas, tanto para efectos de la medición del modelo como para el sistema de alertas.</t>
  </si>
  <si>
    <t>Se evidenció avance en el registro de los proyectos Aliados.</t>
  </si>
  <si>
    <t>A corte del 30 de Junio de 2025; contaba con ocho (8) proyectos en ejecución, ninguno suspendido.</t>
  </si>
  <si>
    <t>La calificación es del 100% para ambos cortes. Se realizó la medición desde el periodo 2024 a corte de 31 de Julio de 2025; en ese peridodo contaba con (8) proyectos en ejecución, ninguno suspendido.  A corte de 31 de Agosto de 2025: Tenia  0 proyectos suspendidos   y 12 proyectos en ejecución.</t>
  </si>
  <si>
    <t>Se realizó la medición de los proyectos liquidados desde el periodo 2024 a corte de 30 de Junio en  la cual se determinó que la secretaría  cuenta con 35 proyectos en proceso de liquidación, 4 proyectos que cuentan con acta final  y 13 proyectos liquidados.</t>
  </si>
  <si>
    <t>Se realizó la medición desde el período 2024 a corte del 31 de Agosto de 2025, determinando que a Julio de 2024, la dependencia contaba con un acumulado de 39 proyectos liquidados, 25 en proceso de Liquidación, y 4 en Acta Final; y para agosto  , la dependencia contaba con un acumulado de 39 proyectos liquidados, 28 en proceso de Liquidación, y 1 en Acta Final.</t>
  </si>
  <si>
    <t>Se realizó la medición desde el período 2024 a corte del 31 de octubre  de 2025, determinando que la dependencia en el mes de septiembre  cuenta con 57  proyectos liquidados y  38  en proceso de liquidación, , y para el mes de octubre cuenta con   60  proyectos liquidados,  35  en proceso de liquidación y   2 proyectos con acta final de  acuerdo con lo reportado en Portafolio para ambos períodos.</t>
  </si>
  <si>
    <t>Se realizó la medición desde el período 2024 a corte del 30 de noviembre y 31 de diciembre  de 2025, determinando que la dependencia cuenta con 63  proyectos liquidados ,32 en proceso de liquidación,  y 2 proyectos con acta final para el mes de noviembre, y para el mes de diciembre cuenta con   64 proyectos liquidados,  33  en proceso de liquidación y 2 proyectos con acta final  de acuerdo con lo reportado en Portafolio para ambos períodos.</t>
  </si>
  <si>
    <t>1. Se valoró la información que tuvo a la mano  La Oficina de Macroproyectos  de cara a las convocatorias en el período de referencia con aplicabilidad directa a la sectorial.
2. Se tuvo en cuenta para la medición las gestiones adelantadas en los Ministerios y demás agencias del Estado u otros mecanismos de financiación.
3.  La dependencia obtuvo una puntuación de 67,85 en el parámetro.
4. Postuladas: 19; Mapeadas y/o gestiones total: 28</t>
  </si>
  <si>
    <t>Julio
1. En el período desde el componente de registro de convocatorias y cruzando la información de la CRC se identificó una sola convocatoria con cierre en el período, sin embargo al facilitar solo la postulacion nivel país, esta no se considero para la medicion de la dependencia.
2. Se tomó como referente lo consignado en el portafolio de reporter de gestiones.
3. Formula Eficacia ((2/2)*100)=100,00%
4. Formula Eficiencia ((1/2)*100)=50%
Agosto
1. El mecanismo de Obras por Impuestos contaba con una línea de inversión para postular proyectos de su dependencia, sin embargo, no se realizó dicha postulación.
2. Se tienen convocatorias postuladas pendientes de períodos anteriores; la medicion consideró Se consideró para la medición la presentacion inicial de la política pública de salud mental (postulacion), así como la viabilidad del la adecuación menor del centro Los Palmitos con gobierno naciconal, los cuales para el mes de agosto cambiaron de fase y avanzaron.
3. Se consideró para la medición la presentacion inicial de la política pública de salud mental (postulacion), así como el convenio de transferencia, la viabilídad conseguida sobre el equipo de biomédicos para Sincelejo, la compra de ambulancias con excedentes y la adecuacion menor del centro Los Palmitos con gobierno naciconal.
4. De lo anteriormente dicho, solo la política pública a corte de Agosto no estaba aprobada o se había materializado en cumplimiento.
5. Formula Eficacia ((5/6)*100)=83,33%
6. Formula Eficiencia ((4/5)*100)=80%</t>
  </si>
  <si>
    <t>Septiembre - Octubre
1. En el período desde el componente de Otros Mecanismos de Financiación  y cruzando la información de la CRC se identificó la Convocatoria Médecins du Monde – Llamado general a socios para proyectos de salud global y acción humanitaria, de la cual no se tiene registro de participación.
2. Se tuvo en cuenta el reporte de gestiones, dentro de las que se la suscripción de la Política Departamental de Salud mnetal, el Inicio de la obra "Hospital de Majagual" gestionado ante el Fondo Adaptación, la Implementación de la Red Departamental de Veedurias en Salud y varias campañas de vacunación en los municipios del departamento.
3. Formula Eficacia ((9/10)*100)= 90,00%
4. Formula Eficiencia ((9/9)*100)=100,00%</t>
  </si>
  <si>
    <t>Noviembre-Diciembre
1. En el período desde el componente de Otros Mecanismos de Financiación  y cruzando la información de la CRC Se identificaron como convocatorias directas al Sector, una  Obras por Impuestos Opción Convenio, sobre la que no existe registro de postulación.
2. Se tuvo en cuenta el reporte de gestiones, dentro de las que se encuentran la disminución del embarazo adolescente, la disminución del Dengue (Implementeación de campañas como "MI Cabildo sin Dengue" en Sampués), campañas para diagnóstico del VIH y la campaña contra la influenza A(H3N2)
3. Formula Eficacia ((4/5)*100)= 80,00%
4. Formula Eficiencia ((4/4)*100)=100,00%</t>
  </si>
  <si>
    <t>1. A fecha de corte del presente informe, no se reportan convocatorias y/o gestiones cuya culminación fuera exitosa, en el período de referencia de la medición.
2. Ganadas: 19; Postuladas: 19
📢 Recordatorio Importante
Toda convocatoria que la dependencia: Mapee, Identifique O sea invitada a participar:
📌 Debe ser notificada a la Oficina de Macroproyectos para su debido registro.
✅ Garantiza trazabilidad y articulación institucional.</t>
  </si>
  <si>
    <t>De acuerdo con análisis realizado de las metas desfinanciadas, la Secretaría demostró un aumento  en la gestión de sus metas desfinanciadas con respecto a lo proyectado desde enero 2025.</t>
  </si>
  <si>
    <t>De acuerdo con el Seguimiento realizado a Plan Indicativo, y el reporte de la Secretaría, el avance acumulado en la ejecución de las metas del PDD a cargo de la dependencia  para la Vigencia 2025, es de 2,22% a corte de 30 de Junio.</t>
  </si>
  <si>
    <t>De acuerdo con el Seguimiento realizado a Plan Indicativo, y el reporte de la Secretaría, el avance acumulado en la ejecución de las metas del PDD a cargo de la dependencia  para la Vigencia 2025, es de 11,11% a corte de 31 de Agosto.</t>
  </si>
  <si>
    <t>De acuerdo con el Seguimiento realizado a Plan Indicativo, y el reporte de la Secretaría, el avance acumulado en la ejecución de las metas del PDD a cargo de la dependencia  para la Vigencia 2025, es de 17,78% a corte de 31 de Octubre.</t>
  </si>
  <si>
    <t>De acuerdo con el Seguimiento realizado a Plan Indicativo, y el reporte de la Secretaría, el avance en la ejecución de las metas del PDD a cargo de la dependencia  para la Vigencia 2025, es de 99,77% a corte de 31 de Diciembre.</t>
  </si>
  <si>
    <t>Los 6 proyectos fueron reportados antes de tiempo, por lo que se otorga la calificación</t>
  </si>
  <si>
    <t>Se realiza el cargue completo de los proyectos que requieren reporte antes del tiempo establecido, por lo tanto se le da la calificación del 100%</t>
  </si>
  <si>
    <t>Se realiza el cargue completo de 4 de 9 de los proyectos que requieren reporte,  se realizó antes del tiempo establecido, 5 de ellos se cargaron a tiempo, por lo tanto se le da la califición del 94% para el mes de septiembre.
Se realiza el cargue completo de 10 de 10  de los proyectos que requieren reporte, estos se realizaron antes del tiempo establecido, por lo tanto se le da la califición del 100% para el mes de Octubre.
Estableciendo un promedio general del 97%</t>
  </si>
  <si>
    <t>Para el mes de  noviembre se realiza el cargue completo de 6 de 11  de los proyectos que requieren reporte, antes del tiempo establecido, 5 de 11 proyectos A Tiempo, por lo tanto se le da la califición general del 91%.
Para el mes de   diciembre se realiza el cargue completo de 6 de 12  de los proyectos que requieren reporte, antes del tiempo establecido,2de 12 proyectos A Tiempo, y 4 no fueron reportados, por lo tanto se le da la califición general del 63%.
Estableciendo un Porcentaje general de general del 77%</t>
  </si>
  <si>
    <t>Para el mes de noviembre se realiza el cargue completo de información de los proyectos que requieren reporte antes del tiempo establecido, por lo tanto se le da la califición del 100%
Para el mes de diciembre Se realiza el cargue completo de información de 11 proyectos y a 5 no se les realizo reporte, por lo tanto se le da la califición del 69%
Estableciendo un Porcentaje general de general del 84,5%</t>
  </si>
  <si>
    <t>Se califica con el mayor puntaje para ambos periodos, considerando que la dependencia realizó la actualización del portafolio antes de la fecha requerida para su informe mensual.</t>
  </si>
  <si>
    <t>Se realizó el cargue de información de la ejecución de los proyectos de acuerdo a los tiempos 
A partir del mes de agosto, donde se medirá Julio. Se tendrán en cuenta que todas las columnas correspondientes estén diligenciadas, tanto para efectos de la medición del modelo como para el sistema de alertas.</t>
  </si>
  <si>
    <t>Se califica con el mayor puntaje para ambos periodos, considerando que la dependencia realizó la actualización del portafolio antes de la fecha requerida para su informe mensual, esto sugiere que ha cumplido con los requisitos de actualización y reporte de manera oportuna y eficiente, lo que ha contribuido a obtener la máxima calificación en ambos periodos.</t>
  </si>
  <si>
    <t>Se califica con el puntaje de 85% para ambos periodos, considerando que la dependencia realizó la actualización del portafolio antes de la fecha requerida para su informe mensual, pero continúa con la tabla comparativa de proyectos desactualizada  hasta el mes de junio de 2025.Se sugiere colocarse al día con prontitud.</t>
  </si>
  <si>
    <t>Teniendo en cuenta  los criterios evaluados en el Indicador de Reporte, en el que se realiza el cargue completo de los proyectos antes del tiempo establecido, se otorga la calificación general del 98,5%.
Esto considerando que aún la PIIP no está generando la medición del Índice de Cumplimiento a la Programación.</t>
  </si>
  <si>
    <t>Teniendo en cuenta  los criterios evaluados en el Indicador de Reporte, en el que se realiza el cargue completo de los proyectos antes del tiempo establecido, se otorga la calificación general del 80,75%.
Esto considerando que aún la PIIP no está generando la medición del Índice de Cumplimiento a la Programación.</t>
  </si>
  <si>
    <t>Resultado del promedio de los índices de cada proyecto estratégico</t>
  </si>
  <si>
    <t>Indice de Rendimiento de la Programación a corte de Octubre de 2025, considerando que no hubo seguimeinto permanente en los meses reportados para esta medición.</t>
  </si>
  <si>
    <t>Indice de Rendimiento de la Programación de los Proyectos Estratégicos a corte de Octubre de 2025</t>
  </si>
  <si>
    <t>Indice de Rendimiento de la Programación de los Proyectos Estratégicos a corte de Diciembre de 2025</t>
  </si>
  <si>
    <t>Se evidenció el cargue de la Información completa de los dos proyectos Aliados.</t>
  </si>
  <si>
    <t>A corte 30 de Junio en  la cual se determinó que la secretaría no cuenta con proyectos suspendidos</t>
  </si>
  <si>
    <t>La calificación es del 100% para ambos cortes por que no tiene proyectos suspendidos.</t>
  </si>
  <si>
    <t>Se  realizó la medición desde el periodo 2024 a corte de  30 de noviembre y 31 de diciembre de 2025  en ambos periodos tenia  0 proyectos suspendidos hasta  la fecha.</t>
  </si>
  <si>
    <t>Se realizó la medición desde el periodo 2024 a corte de 30 de Junio en  la cual se determinó que la dependencia cuenta con 16 proyectos en proceso de liquidación 6 liquidados</t>
  </si>
  <si>
    <t>Se realizó la medición desde el período 2024 a corte del 31 de Agosto de 2025, determinando que la dependencia contaba con 6 proyectos liquidadoss, 17 en proceso de liquidación,por otro lado, 10 proyectos liquidados, 13  en proceso de liquidación, en agosto.</t>
  </si>
  <si>
    <t>Se realizó la medición desde el período 2024 a corte del mes de septiembre y octubre de 2025, determinando que la dependencia contaba con 7 proyectos liquidados, 15  proceso de liquidación para ambos cortes.</t>
  </si>
  <si>
    <t>Se realizó la medición desde el período 2024 a corte del mes de noviembre y  diciembre de 2025, determinando que la dependencia contaba con 7 proyectos liquidados, 15  proceso de liquidación para ambos cortes.</t>
  </si>
  <si>
    <t>1. Se valoró la información que tuvo a la mano Macroproyecto de cara a las convocatorias en el período de referencia con aplicabilidad directa a la sectorial.
2. No se tiene registro de las gestiones adelantadas en el nivel central.
3.  La dependencia obtuvo una puntuación de 42,85 en el parámetro.
4. Postuladas: 3; Mapeadas y/o gestiones total: 7.</t>
  </si>
  <si>
    <t>Julio
1. En el período desde el componente de registro de convocatorias y cruzando la información de la CRC se identificó la convocatoriade Banco de Iniciátivas para las comunidades del Ministerio del Interior sin que se realizaran actividades para apoyar la presentación de estas a la convocatoria.
2. Se toma como reporte de períodos anteriores la postulacion sobre la convocatoria KPSC sobre la que no se tiene seguimiento.
3. En el período se adelantaron diversas gestiones en el departamento de Sucre, incluyendo el apoyo a la infraestructura operativa PAIM, asistencia técnica en memoria histórica a San Onofre (con la JEP) y a municipios del SNARIV, y el fortalecimiento de capacidades para la paz y la convivencia con mujeres afro. Además, se brindaron garantías y apoyo logístico a las mesas técnicas de seguimiento para la población reincorporada y se realizaron acciones de prevención, atención integral a migrantes y lucha contra la trata, culminando con la donación de un equipo de cómputo a la Federación Comunal de Sucre.
4. Formula Eficacia ((6/7)*100)=85,71%
5. Formula Eficiencia ((6/8)*100)=75,00%, se precisa que el denominador contiene las postulaciones actuales más la de períodos anteriores sobre las que no se tiene seguimiento por parte de la deendencia.
Agosto
1. En el período desde el componente de registro de convocatorias y cruzando la información de la CRC no se identificaron convocatorias para el sector.
2. Se toma como reporte de períodos anteriores la postulacion sobre la convocatoria KPSC sobre la que no se tiene seguimiento.
3. En el período se adelantaron diversas gestiones en el departamento de Sucre, incluyendo la realización de la Segunda Mesa Departamental de Prevención del Reclutamiento, Uso, Utilización y Violencia Sexual contra NNA, así como la presentacion de un proyecto al Ministerio de interior que fue estructurado de manera articulada con el municipio de Coveñas y la realizacion de un evento de seguimiento del banco de iniciativas que lideró el viceministro del interior.
4. Formula Eficacia ((3/3)*100)=100,00%
5. Formula Eficiencia ((0/2)*100)=0,00%, se precisa que el denominador contiene las postulaciones al mininterior y la KPSC mencionada en el punto 2.</t>
  </si>
  <si>
    <t>Septiembre - Octubre
1. En el período desde el componente de Otros Mecanismos de Financiación  y cruzando la información de la CRC se identificó la Convocatoria Iniciativa Paz y Recuperación (Peace &amp; Recovery Initiative, PRI) de la cual no se tuvo registro de participación y/o apoyo a la participación.
2. Se tuvo en cuenta el reporte de gestiones, dentro de las que se cuentan la activación del Consejo Departamental de Paz, el Comité Departamental de Justicia y la mesa de Concertación de Tierras y Territorialidad, se destaca la Elección a los Consejos de Juventud,
3. Formula Eficacia ((4/5)*100)=80,00%
4. Formula Eficiencia ((4/4)*100)=100,00%</t>
  </si>
  <si>
    <t>Noviembre - Diciembre
1. En el período desde el componente de Otros Mecanismos de Financiación  y cruzando la información de la CRC Se identificaron como convocatorias directas al sector, 3 en la matriz de registro sobre las cuales no hay registro de postulacion en 2, y en 1 se brindó sobporte a las juntas de acción comunal en la convocatoria con el Ministerio del Interior.
2. Se tuvo en cuenta el reporte de gestiones, entre las cuales se encuentra el convenio con el Ministerio de Justicia para la procmoción al acceso a la justicia con enfoque sectorial para los sujetos de especial protección constitucional me diante sistema locales de justicia, también, el apoyo a la infraestructura operacional PAIM, cerramiento, PTAR, tanque elevado, entre otros; y finalmente equipos de inteligencia para la comunicación del resguardo San Andrés de Sotavento.
3. Formula Eficacia ((4/6)*100)=66,67%
4. Formula Eficiencia ((4/4)*100)=100,00%</t>
  </si>
  <si>
    <t>1. A fecha de corte del presente informe, no se reportan convocatorias y/o gestiones cuya culminación fuera exitosa, en el período de referencia de la medición.
2. Ganadas: 0; Postuladas: 3.
📢 Recordatorio Importante
Toda convocatoria que la dependencia: Mapee, Identifique O sea invitada a participar:
📌 Debe ser notificada a la Oficina de Macroproyectos para su debido registro.
✅ Garantiza trazabilidad y articulación institucional.</t>
  </si>
  <si>
    <t>De acuerdo con análisis realizado de las metas desfinanciadas, la Secretaría  demostró un aumento en la gestión de sus metas desfinanciadas con respecto a lo proyectado desde enero 2025.</t>
  </si>
  <si>
    <t>De acuerdo con el Seguimiento realizado a Plan Indicativo, y el reporte de la Secretaría, el avance en la ejecución de las metas del PDD asignadas a la dependencia para la Vigencia 2025, es de 9,76% a corte de 30 de Junio.</t>
  </si>
  <si>
    <t>De acuerdo con el Seguimiento realizado a Plan Indicativo, y el reporte de la Secretaría, el avance acumulado en la ejecución de las metas del PDD a cargo de la dependencia  para la Vigencia 2025, es de 62,18% a corte de 31 de Agosto.</t>
  </si>
  <si>
    <t>De acuerdo con el Seguimiento realizado a Plan Indicativo, y el reporte de la Secretaría, el avance acumulado en la ejecución de las metas del PDD a cargo de la dependencia  para la Vigencia 2025, es de 72,88% a corte de 31 de Octubre.</t>
  </si>
  <si>
    <t>De acuerdo con el Seguimiento realizado a Plan Indicativo, y el reporte de la Secretaría, el avance en la ejecución de las metas del PDD a cargo de la dependencia  para la Vigencia 2025, es de 83,21% a corte de 31 de Diciembre.</t>
  </si>
  <si>
    <t>Realizó el cargue de 6 proyectos antes de tiempo, por lo cual, se le da la mayor puntuación.</t>
  </si>
  <si>
    <t>Se realiza el cargue completo de 1 de 8 de los proyectos que requieren reporte,  se realizó antes del tiempo establecido, 7 de ellos se cargaron a tiempo, por lo tanto se le da la califición del 82,5% para el mes de septiembre.
Se realiza el cargue completo de 12 de 13  de los proyectos que requieren reporte, estos se realizaron antes del tiempo establecido, por lo tanto se le da la califición del 92.30% para el mes de Octubre.</t>
  </si>
  <si>
    <t>Para el mes de  noviembre se realiza el cargue completo de 8 de 8  de los proyectos que requieren reporte, antes del tiempo establecido, por lo tanto se le da la califición general del 100%.
 Para el mes de  diciembre se realiza el cargue completo de 8 de 8  de los proyectos que requieren reporte, A Tiempo, por lo tanto se le da la califición general del 80%.
Estableciendo un proyecto general del 90%</t>
  </si>
  <si>
    <t>Se cargaron los documentos que soportan la ejecución, tales como : Contratos, CDP´s, RP´s, Acta de inicio, Informes de avance, comprobante de pago, entre otros .</t>
  </si>
  <si>
    <t>Gesproy</t>
  </si>
  <si>
    <t>Se evaluaron 18 proyectos, de los cuales 8 fueron enviados a tiempo.</t>
  </si>
  <si>
    <t>Junio: Se evaluaron 12 proyectos, de los cuales 11 fueron enviados a tiempo.
Julio: Se envío el reporte de todos los proyectos a tiempos.</t>
  </si>
  <si>
    <t>La información correspondiente a los proyectos se califica con base en las fechas de entrega registradas.</t>
  </si>
  <si>
    <t>En el consolidado de la información no se evidencia el estado de todos los proyectos.</t>
  </si>
  <si>
    <t>Junio: La información enviada fue consistente en 9 proyectos, en los 3 faltantes hubieron correciones que retrasaron el cargue de la información.
Julio: Se remitio informació de todos los proyectos, sin embargo hubieron inconsistencias y correciones en diferentes proyectos.</t>
  </si>
  <si>
    <t>Se evaluaron 17 proyectos y se determinó el puntaje de la calidad de la información con base en lo remitido por las sectoriales.</t>
  </si>
  <si>
    <t>Se evaluaron 19  proyectos y se determinó el puntaje de la calidad de la información con base en lo remitido por las sectoriales.</t>
  </si>
  <si>
    <t>Se califica el mayor puntaje, considerando que se realizó la actualización del portafolio antes de la fecha requerida para su informe. 
A partir del mes de agosto, donde se medirá Julio. Se tendrán en cuenta que todas las columnas correspondientes estén diligenciadas, tanto para efectos de la medición del modelo como para el sistema de alertas.</t>
  </si>
  <si>
    <t>Se califica el mayor puntaje, considerando que se realizó la actualización del portafolio con la información completa disponible a la fecha.</t>
  </si>
  <si>
    <t>Considerando que aún la PIIP no está generando la medición del Índice de Cumplimiento a la Programación, se le da la mayor puntuación, teniendo en cuenta la complejidad del cargue de la información para el caso de estos proyectos, la cual fue cargada al 100%.</t>
  </si>
  <si>
    <t>Teniendo en cuenta  los criterios evaluados en el Indicador de Reporte, en el que se realiza el cargue completo de los proyectos antes del tiempo establecido, se otorga la calificación general del 93,7%.
Esto considerando que aún la PIIP no está generando la medición del Índice de Cumplimiento a la Programación.</t>
  </si>
  <si>
    <t>Teniendo en cuenta  los criterios evaluados en el Indicador de Reporte, en el que se realiza el cargue completo de los proyectos antes del tiempo establecido, se otorga la calificación general del  95%.
Esto considerando que aún la PIIP no está generando la medición del Índice de Cumplimiento a la Programación.</t>
  </si>
  <si>
    <t>Indice de Eficiencia en la Contratación o Indice de Eficiencia en la Ejecución - GESPROY</t>
  </si>
  <si>
    <t>Promedio del Índice mensual de Eficiencia a la Contratación o o Índice de Eficiencia en la Ejecución de los proyectos financiados con recursos del Sistema General de Regalías cargados en Gesproy para la Secretaría.</t>
  </si>
  <si>
    <t>Se evaluaron 18 proyectos, 15 en estado "En Ejecución" y 3 proyectos en estado "Sin Contratar". Los proyectos en estado "En ejecución" fueron evaludados con los siguientes criterios: Desempeño en el cronograma y cumplimiento en el costos, la puntuación promedio de las dos establece la puntuación del proyecto. 
Para los proyectos en estado "Sin contratar", se establecieron un rango de días entre 1 - 180 días, si este excede los 180 días, obtendrá una puntuación de cero (0).</t>
  </si>
  <si>
    <t>Junio: Se evaluaron 12 proyectos; 8 en estado "En Ejecución", donde se evaluó el desempeño en el crograma y cumplimiento en el costo; 2 en estado "Contratado Sin Acta de Inicio" y 2 en estado "Sin Contratar".
Julio: Se evaluaron 12 proyectos; 9 en estado "En Ejecución"donde se evaluó el desempeño en el crograma y cumplimiento en el costo; 1 en estado "Contratado Sin Acta de Inicio" y 2 en estado "Sin Contratar".</t>
  </si>
  <si>
    <t>Para la evaluación del desempeño en la planeación del proyecto, se consideran únicamente los proyectos en ejecución y sin contratar, de conformidad con los lineamientos establecidos por el DNP. En cada caso particular, la puntuación asignada se detalla en el anexo correspondiente; para los proyectos en ejecución, la determinación del puntaje se fundamenta principalmente en los indicadores CPI y SPI reportados en la plataforma Gesproy.</t>
  </si>
  <si>
    <t>Resultado del promedio de los índices de cada proyecto estratégicos en el mes de Junio</t>
  </si>
  <si>
    <t>Indice de Rendimiento de la Programación a corte de Octubre de 2025</t>
  </si>
  <si>
    <t>Indice de Rendimiento de la Programación a corte de Diciembre  de 2025</t>
  </si>
  <si>
    <t>Se califica el mayor puntaje, considerando que se realizó la actualización del portafolio. 
A partir del mes de agosto, donde se medirá Julio. Se tendrán en cuenta que todas las columnas correspondientes estén diligenciadas, tanto para efectos de la medición del modelo como para el sistema de ale</t>
  </si>
  <si>
    <t>se envidencio cargue de la información correspondiente a los proyectos aliados</t>
  </si>
  <si>
    <t>A corte de 30 de Junio se determinó que la dependencia cuenta con 34 proyectos en ejecución, de los cúales 6 se encuentran suspendidos.</t>
  </si>
  <si>
    <t>Se realizó la medición desde el periodo 2024 a corte de 31 de Julio:Tenia 8 proyectos suspendidos  y  26 proyectos en ejecución. A corte de 31 de Agosto:  Tenia 8 proyectos suspendidos y  24 en ejecución</t>
  </si>
  <si>
    <t>Se  realizó la medición desde el periodo 2024 a corte de  30 de septiembre  tenia 10 proyectos suspendidos y  20 proyectos en ejecución  y  a corte de 31 de octubre  de 2025  tenia 8 proyectos suspendidos  y 23 proyectos en ejecución para un ponderado final de  2,11 %.</t>
  </si>
  <si>
    <t>Se  realizó la medición desde el periodo 2024 a corte de  30 de septiembre  tenia 7 proyectos suspendidos y  21  proyectos en ejecución  y  a corte de 31 de octubre  de 2025  tenia 6  proyectos suspendidos  y 23 proyectos en ejecución  de acuerdo a los reportes de la dependencia,</t>
  </si>
  <si>
    <t>se realizó la medición desde el periodo 2024 a corte de 30 de Junio en  la cual se determinó que la secretaría cuenta con 24 proyectos en proceso de liquidación, 4 proyectos con acta final y  16 proyectos liquidados</t>
  </si>
  <si>
    <t>Se realizó la medición desde el período 2024 a corte del 31 de Agosto de 2025, determinando que la dependencia contaba con 17 proyectos liquidadoss, 24  en proceso de liquidación, y 4 en Acta Final en el mes de Julio, y otro lado, 20 proyectos liquidados, 23  en proceso de liquidación, y 1 en Acta Final en agosto.</t>
  </si>
  <si>
    <t>Se realizó la medición desde el período 2024 a corte de septimbre y octubre  de 2025, determinando que la dependencia cuenta con 14 proyectos liquidados ,22 en proceso de liquidación y 3 proyectos con acta final para el mes de septiembre. En Octubre tiene  17  proyectos liquidados, 19 proyectos en proceso de liquidación y 3 proyectos con acta final  de acuerdo con lo reportado en Portafolio para ambos períodos.</t>
  </si>
  <si>
    <t>Se realizó la medición desde el período 2024 a corte de noviembre y diciembre  de 2025, determinando que la dependencia cuenta con 17 proyectos liquidados ,22 en proceso de liquidación y 4 proyectos con acta final para el mes de noviembre. En diciembre tiene  19  proyectos liquidados, 21 proyectos en proceso de liquidación y 3 proyectos con acta final  de acuerdo con lo reportado en Portafolio para ambos períodos.</t>
  </si>
  <si>
    <t>1. La dependencia envió información SOPORTADA.
2. La dependencia NO notificó a Macroproyectos sobre las convocatorias y/o gestiones de otros mecanismos para su registro efectivo, obtuvo penalización por no reporte a tiempo.
3. La dependencia envió información en el tiempo establecido.
4. La dependencia obtuvo una puntuación de 100 en el parámetro.
5. Postuladas: 10; Mapeadas y/o gestiones total: 10; Por fuera de medición: 1.</t>
  </si>
  <si>
    <t>Julio
1. En el período desde el componente de registro de convocatorias y cruzando la información de la CRC no se identificaron convocatorias para el sector.
2. Se toma como reporte de períodos anteriores la postulacion sobre la convocatoria a vivienda rural del minvivienda sobre la cualse obtuvo concepto favorable el 30 de julio.
3. En el período se postuló la inclusión de varios proyectos de importancia estrategica en el Pacto Golfo de Morrosquillo.
4. Formula Eficacia ((1/1)*100)=100,00%
5. Formula Eficiencia ((2/12)*100)=16,67%, se precisa que el denominador contiene las postulaciones actuales más la de períodos anteriores sobre las que no se tiene segumiento por parte de la deendencia.
Agosto
1. En el período desde el componente de registro de convocatorias y cruzando la información de la CRC se identificó la convocatoriade obras por impuestos, a la cual se presento la dependencia con dos proyectos:
a.MEJORAMIENTO DE LA VIA TERCIARIA COMPRENDIDA ENTRE PAJONAL - CERRO DE LAS CASAS - PISISI - LIBERTAD - LABARCES - SAN ANTONIO, SEGUNDA ETAPA, DESDE LA ABSCISA K9+300 HASTA LA ABSCISA K13+127, MUNICIPIO DE SAN ONOFRE, DEPARTAMENTO DE SUCRE.
b.CONSTRUCCIÓN DE LA VÍA QUE CONDUCE DEL CORREDOR TURÍSTICO AMBIENTAL SECTOR TONAYA LA MONTAÑA DE LA SUBREGIÓN MONTES DE MARÍA, MUNICIPIO DE CHALÁN, DEPARTAMENTO DE SUCRECONSTRUCCIÓN DE LA VÍA QUE CONDUCE DEL CORREDOR TURÍSTICO AMBIENTAL SECTOR TONAYA LA MONTAÑA DE LA SUBREGIÓN MONTES DE MARÍA, MUNICIPIO DE CHALÁN, DEPARTAMENTO DE SUCRE
2. Se toma como reporte de períodos anteriores la postulacion sobre la convocatoria a vivienda rural del minvivienda sobre la cualse obtuvo concepto favorable el 30 de julio.
3. En el período se gestionó efeectivamente la inclusión de varios proyectos de importancia estrategica en el Pacto Golfo de Morrosquillo.
4. Formula Eficacia ((1/1)*100)=100,00%
5. Formula Eficiencia ((0/12)*100)=0,00%, se precisa que el denominador contiene las postulaciones actuales más la de períodos anteriores sobre las que no se tiene segumiento por parte de la dependencia.</t>
  </si>
  <si>
    <t>Septiembre - Octubre
1. En el período desde el componente de Otros Mecanismos de Financiación  y cruzando la información de la CRC se identificó la convocatoria de obras por impuestos, sobre la cual se registra el inicio de la vía Pajonal.
2. Se tuvo en cuenta el reporte de gestiones, por ejemplo, la reactivación de las obras de la vía Aguas Negras y si bien no es una convocatoria completamnete, se registra el inicio de la vía Toluviejo Colosó cuyo mayor aportante fue la Nación a partir de la gestión realizada.
3. Formula Eficacia ((3/3)*100)= 100,00%
4. Formula Eficiencia ((3/3)*100)=100,00%</t>
  </si>
  <si>
    <t>Noviembre - Diciembre
1. En el período desde el componente de Otros Mecanismos de Financiación  y cruzando la información de la CRC se identificó una convocatoria aplicable al sector transporte, pero dado que su alcance era de orden nacional (Ministerios) esta no se tuvo en cuenta para la medición a la Dependencia en eficacia, pero si en eficiencia.
2. Se tuvo en cuenta el reporte de gestiones, por ejemplo, el beneficio a 33 familias en el sector Guerrero en Tolú con el título de propiedad de su vivienda y la atención a puntos críticos con la maquinaria amarilla.
3. Formula Eficacia ((2/2)*100)= 100,00%
4. Formula Eficiencia ((2/3)*100)=66,67%</t>
  </si>
  <si>
    <t>1. A fecha de corte del presente informe, no se reportan convocatorias y/o gestiones cuya culminación fuera exitosa.
2. Sobre las convocatorias vigentes y/o activas, una vez se generen los resultados deberan reportarse, para lo cual se deberán atender las mesas de acompañamiento a otros mecanismos para registro de Seguimiento.
3. Ganadas: 0; Postuladas: 10.
📢 Recordatorio Importante
Toda convocatoria que la dependencia: Mapee, Identifique O sea invitada a participar:
📌 Debe ser notificada a la Oficina de Macroproyectos para su debido registro.
✅ Garantiza trazabilidad y articulación institucional.</t>
  </si>
  <si>
    <t>De acuerdo con análisis realizado de las metas desfinanciadas, la Secretaría de Infraestructura demostró un aumento en sus metas financiadas, especialmente en las relacionadas con la Subsecretaría de Vivienda.</t>
  </si>
  <si>
    <t>De acuerdo con el Seguimiento realizado a Plan Indicativo, y el reporte de la Secretaría, el avance en la ejecución de las metas del PDD asignadas a la dependencia para la Vigencia 2025, es de 11,91% a corte de 30 de Junio.</t>
  </si>
  <si>
    <t>De acuerdo con el Seguimiento realizado a Plan Indicativo, y el reporte de la Secretaría, el avance acumulado en la ejecución de las metas del PDD a cargo de la dependencia  para la Vigencia 2025, es de 18,98% a corte de 31 de Agosto.</t>
  </si>
  <si>
    <t>De acuerdo con el Seguimiento realizado a Plan Indicativo, y el reporte de la Secretaría, el avance acumulado en la ejecución de las metas del PDD a cargo de la dependencia  para la Vigencia 2025, es de 46,40% a corte de 31 de Octubre.</t>
  </si>
  <si>
    <t>De acuerdo con el Seguimiento realizado a Plan Indicativo, y el reporte de la Secretaría, el avance en la ejecución de las metas del PDD a cargo de la dependencia  para la Vigencia 2025, es de 76.00% a corte de 31 de Diciembre.</t>
  </si>
  <si>
    <t>Los 6 proyectos fueron reportados antes de tiempo por lo cual se le da la maxima calificación</t>
  </si>
  <si>
    <t>Se realiza el cargue completo de 9 de9 de los proyectos que requieren reporte,  se realizó antes del tiempo establecido, por lo tanto se le da la califición del 100% para el mes de septiembre.
Se realiza el cargue completo de 12 de 12 de los proyectos que requieren reporte, estos se realizaron antes del tiempo establecido, por lo tanto se le da la califición del 100% para el mes de Octubre.
Estableciendo un promedio general del 100%</t>
  </si>
  <si>
    <t>Se realiza el cargue completo de 14 de 14 de los proyectos que requieren reporte,  se realizó antes del tiempo establecido, por lo tanto se le da la califición del 100% para el mes de noviembre.
Se realiza el cargue completo de 12 de 12 de los proyectos que requieren reporte, estos se realizaron antes del tiempo establecido, por lo tanto se le da la califición del 100% para el mes de diciembre.
Estableciendo un promedio general del 100%</t>
  </si>
  <si>
    <t>Se realiza el cargue completo de información de los proyectos que requieren reporte antes del tiempo establecido, por lo tanto se le da la califición general del 100%.</t>
  </si>
  <si>
    <t>Se califica el mayor puntaje, considerando que se realizo la actualización del portafolio antes de la fecha requerida para su informe.
A partir del mes de agosto, donde se medirá Julio. Se tendrán en cuenta que todas las columnas correspondientes estén diligenciadas, tanto para efectos de la medición del modelo como para el sistema de alertas.</t>
  </si>
  <si>
    <t>Cuenta con  proyectos 6 proyectos en ejecución
A partir del mes de agosto, donde se medirá Julio. Se tendrán en cuenta que todas las columnas correspondientes estén diligenciadas, tanto para efectos de la medición del modelo como para el sistema de alertas.</t>
  </si>
  <si>
    <t>Se califica con el  puntaje de 85% para ambos periodos, considerando que la dependencia realizó la actualización del portafolio antes de la fecha requerida para su informe mensual de forma clara, pero aún tiene casillas en blanco del portafolio en general por diligenciar información.</t>
  </si>
  <si>
    <t>Se califica con el  puntaje de 95% para ambos periodos, considerando que la dependencia realizó la actualización del portafolio antes de la fecha requerida para su informe mensual de forma clara y completa, se sugiere actualizar la tabla comparativa que se encuentra hasta el mes de noviembre 2025.</t>
  </si>
  <si>
    <t>Teniendo en cuenta  los criterios evaluados en el Indicador de Reporte, en el que se realiza el cargue completo de los proyectos antes del tiempo establecido, se otorga la calificación general del 100%.
Esto considerando que aún la PIIP no está generando la medición del Índice de Cumplimiento a la Programación.</t>
  </si>
  <si>
    <t>Teniendo en cuenta  los criterios evaluados en el Indicador de Reporte, en el que se realiza el cargue completo de los proyectos antes del tiempo establecido, se otorga la calificación general del  100%.
Esto considerando que aún la PIIP no está generando la medición del Índice de Cumplimiento a la Programación.</t>
  </si>
  <si>
    <t>Indice de Cumplimiento a la Programación de los proyectos Estratégicos a Corte de Octubre de 2025</t>
  </si>
  <si>
    <t>Se realizó la medición desde el periodo 2024 a corte de 30 de Junio en  la cual se determinó que la secretaría no cuenta con proyectos suspendidos</t>
  </si>
  <si>
    <t>Se realizó la medición desde el periodo 2024 a corte de 30 de Junio en  la cual se determinó que la deprendencia cuenta con 22 proyectos en proceso de liquidación y 5 liquidados</t>
  </si>
  <si>
    <t>Se realizó la medición desde el período 2024 a corte del 31 de Agosto de 2025, determinando que la dependencia contaba con 5 proyectos liquidadoss, 21 en proceso de liquidación, y 3 en Acta Final en el mes de Julio, y por otro lado, 5 proyectos liquidados, 22 en proceso de liquidación, y 7 en Acta Final en agosto.</t>
  </si>
  <si>
    <t>Se realizó la medición desde el período 2024 a corte de septiembre y  octubre  de 2025, determinando que la dependencia cuenta con 4 proyectos liquidados y 22 en proceso de liquidación y 4 proyectos con acta final para el mes de septiembre; Para el mes de octubre cuenta con  6 proyectos liquidados, 23 proyectos en proceso de liquidación y  4 proyectos co acta final  de acuerdo con lo reportado en Portafolio para ambos períodos.</t>
  </si>
  <si>
    <t>Se realizó la medición desde el período 2024 a corte de noviembre y  diciembre de 2025, determinando que la dependencia cuenta con 6 proyectos liquidados y 25 en proceso de liquidación y 2 proyectos con acta final para el mes de noviembre; Para el mes de diciembre cuenta con  11 proyectos liquidados, 21 proyectos en proceso de liquidación y  3 proyectos con acta final  de acuerdo con lo reportado en Portafolio para ambos períodos.</t>
  </si>
  <si>
    <t>1. Se valoró la información que tuvo a la mano Macroproyecto de cara a las convocatorias en el período de referencia con aplicabilidad directa a la sectorial.
2. Postuladas:6 ; Mapeadas y/o gestiones total: .23</t>
  </si>
  <si>
    <t>Julio
1. En el período desde el componente de registro de convocatorias y cruzando la información de la CRC se identificaron las convocatorias de FOMMUR y Obras por Impuestos, sobre las cuales no se recibió reporte de postulacion.
2. En el período se adelantaron diversas gestiones en el departamento de Sucre, incluyendo los paquetes alimenticios mensuales con Fundación Éxito,  así como la convocatoria de Prosperidad Social para unidades productivas del sector; del mismo modo se consideraron las gestiones para el fortalecimiento mediante formación a cuidadores de poblacion adulta mayor y de poblaciones con discapacidad, entre otras.
3. Formula Eficacia ((6/8)*100)=75,00%
4. Formula Eficiencia ((5/6)*100)=83,33%
Agosto
1. En el período desde el componente de registro de convocatorias y cruzando la información de la CRC se identificó convocatoria para trabajar en alianza con una organizacion privada para el "Fin del Hambre" a la cual no se postularon
2. En el período se adelantaron diversas gestiones en el departamento de Sucre, incluyendo la postulacion de un proyecto en la convocatoria de MinAgricultura bajo el nombre "CONVOCATORIA MUJER RURAL ES TU MOMENTO"
3. Formula Eficacia ((3/4)*100)=75,00%
4. Formula Eficiencia ((2/3)*100)=66,67%</t>
  </si>
  <si>
    <t>Septiembre - Octubre
1. En el período desde el componente de Otros Mecanismos de Financiación  y cruzando la información de la CRC se identificaron 3 convocatorias dentro de las cuales se encuentran la de Draper Richards Kaplan, Ideas grandes y audaces para un futuro mejor de la Fundación Roddenberry, entre otras
2. Se tuvo en cuenta el reporte de gestiones, dentro de las que se cuentan la implementación del Banco de Alimentos "Jesus Paternina Samur", la entrega de donaciones de la DIAN a mujeres emprendedoras, estrategias de intervención (varias) y enentos divulgación como foros.
3. Formula Eficacia ((9/12)*100)=75,00%
4. Formula Eficiencia ((9/9)*100)=100,00%</t>
  </si>
  <si>
    <t>Noviembre - Diciembre
1. En el período desde el componente de Otros Mecanismos de Financiación  y cruzando la información de la CRC Se identificaron como convocatorias directas al sector, 4 convocatorias a la cual no se presentaron.
2. Se tuvo en cuenta el reporte de gestiónes, para el período varias gestiones exitosas alrededor donaciones calzado, visitas a cine para prevenir trabajo infantil, feria de mujeres empodradas y productivas, cursos y corte de confección LGTBIQ+, campaña de navidad para los hogares, gestiones ante HOCOL para entrega de juguetes, entre otras.
3. Formula Eficacia ((9/13)*100)=69,23%
4. Formula Eficiencia ((9/9)*100)=100,00%</t>
  </si>
  <si>
    <t>1. Se registra la gestión exitosa con la Fundación éxito, la cual además fue debidamente soportada.
2. Ganadas:4  ; Postuladas: 6.
📢 Recordatorio Importante
Toda convocatoria que la dependencia: Mapee, Identifique O sea invitada a participar:
📌 Debe ser notificada a la Oficina de Macroproyectos para su debido registro.
✅ Garantiza trazabilidad y articulación institucional.</t>
  </si>
  <si>
    <t>De acuerdo con análisis realizado de las metas desfinanciadas, la Secretaría  demostró un aumento en la gestión de sus metas financiadas con respecto a lo proyectado desde enero 2025.</t>
  </si>
  <si>
    <t>De acuerdo con el Seguimiento realizado a Plan Indicativo, y el reporte de la Secretaría, el avance en la ejecución de las metas del PDD asignadas a la dependencia para la Vigencia 2025, es de 45,42% a corte de 30 de Junio.</t>
  </si>
  <si>
    <t>De acuerdo con el Seguimiento realizado a Plan Indicativo, y el reporte de la Secretaría, el avance acumulado en la ejecución de las metas del PDD a cargo de la dependencia  para la Vigencia 2025, es de 65,36% a corte de 31 de Agosto.</t>
  </si>
  <si>
    <t>De acuerdo con el Seguimiento realizado a Plan Indicativo, y el reporte de la Secretaría, el avance acumulado en la ejecución de las metas del PDD a cargo de la dependencia  para la Vigencia 2025, es de 72,07% a corte de 31 de Octubre.</t>
  </si>
  <si>
    <t>De acuerdo con el Seguimiento realizado a Plan Indicativo, y el reporte de la Secretaría, el avance en la ejecución de las metas del PDD a cargo de la dependencia  para la Vigencia 2025, es de 89,11% a corte de 31 de Diciembre.</t>
  </si>
  <si>
    <t>De los 5 proyectos en ejecución fueron reportados 4, teniendo en cuenta que 1 fue enviado a mesa de ayuda, sin embargo de los 4, 3 fueron reportados antes de tiempo y 1 a tiempo.</t>
  </si>
  <si>
    <t>Se realiza el cargue completo de los proyectos que requieren reporte, sin embargo 4 se cargan antes del tiempo establecido y uno a tiempo para el mes de julio, por lo que se otorga una calificación de 96% y para el mes de agosto una calificación de 100%, teniendo en cuenta que se cargaron todos antes de tiempo.</t>
  </si>
  <si>
    <t>Se realiza el cargue completo de 7 de 7 de los proyectos que requieren reporte,  se realizó antes del tiempo establecido, por lo tanto se le da la califición del 100% para el mes de septiembre.
Se realiza el cargue completo de 8 de 9 de los proyectos que requieren reporte, estos se realizaron antes del tiempo establecido, 1 no fue reportado, por lo tanto se le da la califición del 96% para el mes de Octubre.
Estableciendo un promedio general del 98%</t>
  </si>
  <si>
    <t>Para el mes de  noviembre se realiza el cargue completo de 11 de 11  de los proyectos que requieren reporte, antes del tiempo establecido, por lo tanto se le da la califición general del 100%.
Para el mes de   diciembre se realiza el cargue completo de 12 de 14  de los proyectos que requieren reporte, antes del tiempo establecido, 2 de 14 proyectos A Tiempo,  por lo tanto se le da la califición general de 97%.
Estableciendo un Porcentaje general de general del 98,5%</t>
  </si>
  <si>
    <t>Se cargaron los documentos que soportan la ejecución, tales como : Contratos, CDP´s, RP´s, Acta de inicio, Informes de avance, comprobante de pago, entre otros.  Para el proyecto de nomina solo se cargaron Cdp,s y RP,s, sin evidencia de informe de avance del proyecto, por lo que se otorga la calificación</t>
  </si>
  <si>
    <t>Se realiza el cargue completo de información de los proyectos que requieren reporte antes del tiempo establecido, por lo tanto se le da la califición general del 98%.</t>
  </si>
  <si>
    <t>Para el mes de noviembre y diciembre se realiza el cargue completo de información de los proyectos que requieren reporte antes del tiempo establecido, por lo tanto se le da la califición del 100%
Estableciendo un Porcentaje general de general del 100%</t>
  </si>
  <si>
    <t>No hubo reporte de infromación</t>
  </si>
  <si>
    <t>Se envío información de todos los proyectos en supervisión.</t>
  </si>
  <si>
    <t>Se evaluaron 4 proyectos y se determinó el puntaje de la calidad de la información con base en lo remitido por las sectoriales.</t>
  </si>
  <si>
    <t>Se evaluaron 4  proyectos y se determinó el puntaje de la calidad de la información con base en lo remitido por las sectoriales.</t>
  </si>
  <si>
    <t>Se validó la información de los proyectos registrados en Portafolio, evidenciando que a la fecha de 30 de Junio cuenta con 10 royectos en ejecución  cuenta con  un registro completo, debido a los ajustes realizados para el sistema de alertas en el mes de julio se debe diligenciar las celdas
A partir del mes de agosto, donde se medirá Julio. Se tendrán en cuenta que todas las columnas correspondientes estén diligenciadas, tanto para efectos de la medición del modelo como para el sistema de alertas.</t>
  </si>
  <si>
    <t>Se califica con el  puntaje de 86% para ambos periodos, considerando que la dependencia realizó la actualización del portafolio antes de la fecha requerida para su informe mensual de forma clara, pero aún el portafolio en general tiene casillas en blanco que falta diligenciar  información , éstas se encuentran subrayadas en color amarillo desde el día de la revisión de portafolio.</t>
  </si>
  <si>
    <t>Se califica con el  puntaje para ambos periodos, considerando que la dependencia realizó la actualización del portafolio antes de la fecha requerida para su informe mensual de forma clara, y haber diligenciado las casillas que les faltaba información.</t>
  </si>
  <si>
    <t>Considerando que aún la PIIP no está generando la medición del Índice de Cumplimiento a la Programación, se asignó la puntuación, considerando los criterios evaluados en el Indicador de Reporte.</t>
  </si>
  <si>
    <t>Teniendo en cuenta  los criterios evaluados en el Indicador de Reporte, en el que se realiza el cargue completo de los proyectos antes del tiempo establecido, se otorga la calificación del 98%.
Esto considerando que aún la PIIP no está generando la medición del Índice de Cumplimiento a la Programación.</t>
  </si>
  <si>
    <t>Teniendo en cuenta  los criterios evaluados en el Indicador de Reporte, en el que se realiza el cargue completo de los proyectos antes del tiempo establecido, se otorga la calificación general del 98%.
Esto considerando que aún la PIIP no está generando la medición del Índice de Cumplimiento a la Programación.</t>
  </si>
  <si>
    <t>Teniendo en cuenta  los criterios evaluados en el Indicador de Reporte, en el que se realiza el cargue completo de los proyectos antes del tiempo establecido, se otorga la calificación general del 99,25%.
Esto considerando que aún la PIIP no está generando la medición del Índice de Cumplimiento a la Programación.</t>
  </si>
  <si>
    <t>la Secretaría cuenta con tres (3) proyectos evaluados en estado "En Ejecución", obtienen la puntuación anterior debido a que dos (2) de los proyectos se encuentran con programación vencida y el otro pendiente de acta final.</t>
  </si>
  <si>
    <t>Junio: la Secretaría cuenta con tres (3) proyectos evaluados en estado "En Ejecución", obtienen la puntuación anterior debido a que dos (2) de los proyectos se encuentran con programación vencida y el otro pendiente de acta final.
Julio:Se evaluaron tres (3) proyectos, uno en estado "En Ejecución" con una puntuación de cero debido a programación vencida y los otros dos en estado "Terminado".</t>
  </si>
  <si>
    <t>Indice de Rendimiento de la Programación a corte de Diciembree de 2025</t>
  </si>
  <si>
    <t>cuenta  con 13  proyectos aliados registrados en el portafolio A partir del mes de agosto, donde se medirá Julio. Se tendrán en cuenta que todas las columnas correspondientes estén diligenciadas, tanto para efectos de la medición del modelo como para el sistema de alertas.</t>
  </si>
  <si>
    <t>se realizó actualización de estado y cargue correspondiente al mes de junio en los proyectos aliados</t>
  </si>
  <si>
    <t>A  corte de 30 de Junio en  la cual se deermino que la dependencia no cuenta con proyectos suspendidos</t>
  </si>
  <si>
    <t>Se realizó la medición desde el periodo 2024 a corte de 30 de Junio en  la cual se determinó que la sectetaría cuenta con 3 proyectos liquidados, 22 proyectos en proceso de liquidación.</t>
  </si>
  <si>
    <t>Se realizó la medición desde el período 2024 a corte del 31 de Agosto de 2025, determinando que la dependencia contaba con 4 proyectos liquidadoss, 22  en proceso de liquidación, para ambos períodos.</t>
  </si>
  <si>
    <t>Se realizó la medición desde el período 2024 a corte de septiembre y  octubre de 2025, determinando que la dependencia cuenta con 1 proyectos liquidados y 21 en proceso de liquidación, de acuerdo con lo reportado en Portafolio para ambos períodos.</t>
  </si>
  <si>
    <t>Se realizó la medición desde el período 2024 a corte del 31 de octubre  de 2025, determinando que la dependencia cuenta con 7 proyectos liquidados y 15 en proceso de liquidación, de acuerdo con lo reportado en Portafolio para ambos períodos.</t>
  </si>
  <si>
    <t>1. La dependencia envió información SOPORTADA.
2. La dependencia envió información en el tiempo establecido.
3. Si bien se reportó y soportó la gestión realizada, no se obtuvo información sobre las convocatorias mapeadas desde la Oficina de macroproyectos con incidencia directa sobre la dependencia
4. Postuladas: 4; Mapeadas y/o gestiones total: 12; Penalizaciones: 0</t>
  </si>
  <si>
    <t>Julio
1. En el período desde el componente de registro de convocatorias y cruzando la información de la CRC se identifico la convocatoria de obras por impuestos, sobre la cual, la dependencia presentó el siguiente proyecto:
a. Dotación de mobiliario escolar y administrativo en instituciones educativas rurales de los municipios PDET, departamento de Sucre (En Subsanación)
2. En el período se adelantaron diversas gestiones en el departamento de Sucre, incluyendo la presentacion del proyecto dotación de mobiliario escolar y administrativo en instituciones educativas rurales de los municipios PDET. Adicionalmente, se desarrollaron talleres formativos en colaboración con Peace Corps, la Universidad de Sucre y la Secretaría de Educación Departamental. Finalmente, se llevó a cabo el Tour Lingüístico y Cultural 2025.
4. Formula Eficacia ((3/3)*100)=100,00%
5. Formula Eficiencia ((2/3)*100)=66,67%
Agosto
1. En el período desde el componente de registro de convocatorias y cruzando la información de la CRC no se identificaron convocatorias para el sector
2. En el período se adelantaron diversas gestiones en el departamento de Sucre, en el sector se destaca principalmente la postulacion ante la UAPA del proyecto PAE, se logra la asignación de  rescursos por valor de $30.988.265.908
3. Formula Eficacia ((1/1)*100)=100,00%
4. Formula Eficiencia ((1/2)*100)=50,00%, viene pendiente la convocatoria de obras por Impuestos, lo cual incrementa el denominador.</t>
  </si>
  <si>
    <t>Septiembre - Octubre
1.En el período evaluado desde el componente de Otros Mecanismos de Financiación  y cruzando la información de la CRC, se identificaron como convocatorias directas al sector cuatro (4) convocatorias,
2. En el período se adelantaron diversas gestiones en el departamento de Sucre, el reconocimiento por mejora en la calidad educativa, así como el foro de experiencias alrededor de la educación inclusiva y la estrategia de alfabetización.
3. Formula Eficacia ((3/7)*100)=42,85%
4. Formula Eficiencia ((3/3)*100)=100,00%</t>
  </si>
  <si>
    <t>Noviembre - Diciembre
1. En el período de referencia se revisó la  matriz de registro de convocatorias y se identifico la convocatoria de Fundación Luena, sobre la cual no hubo presentación por parte de la dependencia y/o acompañamiento a la comunidad para presentarse
2. En el período se adelantaron diversas gestiones en el departamento de Sucre, incluyendo el Taller para docentes en lengua Francesa, Proyecto comunitario indígena en Tolú, Coveñas, San Onofre, San Benito Abad y Sampués, La estrategia de Ferias Universitarias y la Estrategia  Superate para el ICFES 2025
3. Formula Eficacia ((4/5)*100)=80,00%
4. Formula Eficiencia ((4/4)*100)=100,00%</t>
  </si>
  <si>
    <t>1. Presentaron dos proyectos  dentro de los tiempo establecidos y se realizaron las subsanaciones requeridas para obtener cumple de requisistos, viabilidad sectorial  y aprobación del DNP para entrar al Banco de proyectos del mecanismos de obras por impuestos. (Se evaluó UNA convocatoria).
2. Se evaluó de manera positiva la gestión en el MEN para la viabilidad del proyecto PAE, que hoy se evidencia en la materialización del mismo.
3. Ganadas: 3; Postuladas: 4.
📢 Recordatorio Importante
Toda convocatoria que la dependencia: Mapee, Identifique O sea invitada a participar:
📌 Debe ser notificada a la Oficina de Macroproyectos para su debido registro.
✅ Garantiza trazabilidad y articulación institucional.</t>
  </si>
  <si>
    <t>De acuerdo con análisis realizado de las metas desfinanciadas, la Secretaría  demostró un aumento en la gestión de  sus metas desfinanciadas.</t>
  </si>
  <si>
    <t>De acuerdo con el Seguimiento realizado a Plan Indicativo, y el reporte de la Secretaría, el avance en la ejecución de las metas del PDD asignadas a la dependencia para la Vigencia 2025, es de 46,77% a corte de 30 de Junio.</t>
  </si>
  <si>
    <t>De acuerdo con el Seguimiento realizado a Plan Indicativo, y el reporte de la Secretaría, el avance acumulado en la ejecución de las metas del PDD a cargo de la dependencia  para la Vigencia 2025, es de 61,68% a corte de 31 de Agosto.</t>
  </si>
  <si>
    <t>De acuerdo con el Seguimiento realizado a Plan Indicativo, y el reporte de la Secretaría, el avance acumulado en la ejecución de las metas del PDD a cargo de la dependencia  para la Vigencia 2025, es de 67,60% a corte de 31 de Octubre.</t>
  </si>
  <si>
    <t>De acuerdo con el Seguimiento realizado a Plan Indicativo, y el reporte de la Secretaría, el avance en la ejecución de las metas del PDD a cargo de la dependencia  para la Vigencia 2025, es de 91,32% a corte de 31 de Diciembre.</t>
  </si>
  <si>
    <t>Mes reportado en Gesproy</t>
  </si>
  <si>
    <t>Los proyectos ejecutados por entidades descentralizadas se evalúan con base en la ejecución reportada en la plataforma, en tanto dichas entidades son las responsables directas del cargue y envío de la información, sin que esta sea remitida de manera directa por la entidad territoria</t>
  </si>
  <si>
    <t>Los proyectos ejecutados por entidades descentralizadas se evalúan con base en la ejecución reportada en la plataforma, toda vez que dichas entidades son las responsables directas del cargue y envío de la información, sin que esta sea remitida de manera directa por la entidad territorial.</t>
  </si>
  <si>
    <t>Se realizo el cargue  de los proyectos</t>
  </si>
  <si>
    <t>Se califica con el puntaje  de 85%  para ambos periodos, considerando que la dependencia realizó la actualización del portafolio antes de la fecha requerida para su informe mensual, le sugerimos actualizar la tabla comparativa de proyectos que se encuentra por el mes de octubre de 2025.</t>
  </si>
  <si>
    <t>Se evaluaron dos (2) proyectos, uno en estado en "En ejeución y el otro en estado "Sin contratar".
Los proyectos en estado "En ejecución" son  evaludados con los siguientes criterios: Desempeño en el cronograma y cumplimiento en el costos, la puntuación promedio de las dos establece la puntuación del proyecto. 
Para los proyectos en estado "Sin contratar", se establecieron un rango de días entre 1 - 180 días, si este excede los 180 días, obtendrá una puntuación de cero (0).</t>
  </si>
  <si>
    <t>Junio: Se evaluaron dos (3) proyectos, uno en estado en "En ejeución y dos en estado "Sin contratar".
Julio: Se evaluaron dos (3) proyectos, dos en estado en "En ejeución y uno en estado "Sin contratar".</t>
  </si>
  <si>
    <t>Para la evaluación del desempeño en la planeación del proyecto, únicamente se consideran los proyectos en ejecución y sin contratar, de conformidad con los lineamientos establecidos por el DNP. En cada caso particular, la puntuación asignada se detalla en el anexo correspondiente, teniendo en cuenta que, para los proyectos en ejecución, las principales herramientas utilizadas para la determinación del puntaje son los indicadores CPI y SPI mostrados en la plataforma Gesproy.</t>
  </si>
  <si>
    <t>se realizo el cargue de los proyectos aliados a la fecha cuenta con 8 proyectos se debe verificar si cuenta con mas proyectos para realizar su regitro</t>
  </si>
  <si>
    <t>Se evidenció el cargue de la Información completa de los  proyectos Aliados.</t>
  </si>
  <si>
    <t>A corte del 30 de Junio, de acuerdo con lo registrado en Portafolio, la dependencia cuenta con 21 proyectos en etapa de ejecución, de los cuales 11 están suspendidos.</t>
  </si>
  <si>
    <t>Se realizó la medición desde el periodo 2024 a corte de 31 de Julio:Tenia 11 proyectos suspendidos  y  10 proyectos en ejecución. A corte de 31 de Agosto:  Tenia 12 proyectos suspendidos y  11 en ejecución</t>
  </si>
  <si>
    <t>Se  realizó la medición desde el periodo 2024 a corte de  30 de septiembre  tenia 10 proyectos suspendidos  y  13 en ejecución y  a corte de 31 de octubre  de 2025  tenia 7 proyectos  suspendidos  y 16 en ejecución para un ponderado final de  1,89 %.</t>
  </si>
  <si>
    <t>Se  realizó la medición desde el periodo 2024 a corte de  30 de noviembre tenia 7 proyectos suspendidos  y  10  en ejecución y  a corte de 31 de diciembre  de 2025  tenia 7 proyectos  suspendidos  y 14 en ejecución para un ponderado final de  1,89 %.</t>
  </si>
  <si>
    <t>se realizo la medición desde el periodo 2024 a corte de 30 de Junio en  la cual se determinó que la dependencia cuenta con 6 proyectos en proceso de liquidación,1 con Acta final y  liquidados 11 .</t>
  </si>
  <si>
    <t>Se realizó la medición desde el período 2024 a corte del 31 de Agosto de 2025, determinando que la dependencia contaba con 11 proyectos liquidadoss, 6 en proceso de liquidación, y 2 en Acta Final en el mes de Julio, y por otro lado, 9 proyectos liquidados, 3  en proceso de liquidación, y 2 en Acta Final en agosto.</t>
  </si>
  <si>
    <t>Se realizó la medición desde el período 2024 a corte del 31 de octubre  de 2025, determinando que la dependencia cuenta con 9 proyectos liquidados y 6 en proceso de liquidación, de acuerdo con lo reportado en Portafolio para ambos períodos.</t>
  </si>
  <si>
    <t>Se realizó la medición desde el período 2024 a corte del 31 de Diciembre  de 2025, determinando que la dependencia cuenta con 9 proyectos liquidados y 6 en proceso de liquidación, de acuerdo con lo reportado en Portafolio para ambos períodos.</t>
  </si>
  <si>
    <t>1. La valoración de la dependencia se hizo con Información aportada por la Secretaría de planeación y la misma Oficina de Macroproyectos.
2. La dependencia tuvo un puntaje de 40% .
3. Postuladas: 2; Mapeadas y/o gestiones total: 5.</t>
  </si>
  <si>
    <t>Julio
1. No se obtuvo informacion respecto al mes de Julio.
Agosto
1. En el período desde el componente de registro de convocatorias y cruzando la información de la CRC se identificó que la convocatoria de obras por impuestos no fue atendida pese a tener una línea tematica asociada al sector.
2. Se toma en consideracion la aprobación del plan ambiental 2025-2027 del PDA, así como el fortalecimiento con capacitaciónes en ley 142 y estilos de vida saludables asociados al programa del PDA que lleva ese nombre.
3. Formula Eficacia ((2/3)*100)=66,67%
4. Formula Eficiencia ((2/3)*100)=66,67%</t>
  </si>
  <si>
    <t>Septiembre - Octubre
1. En el período desde el componente de Otros Mecanismos de Financiación  y cruzando la información de la CRC se identificó la convocatoria de FEMSA, sobre la cual no se tiene reporte de gestión, ni tampoco ante entidades del orden nacional.
2. Se tuvo en cuenta el reporte de gestiones, por ejemplo, la labor reaizada con los 600 "Defensores del Agua" (Niños)
3. Formula Eficacia ((1/2)*100)= 50,00%
4. Formula Eficiencia ((1/1)*100)=100,00%</t>
  </si>
  <si>
    <t>Noviembre
1. En el período comprendido entre noviembre y diciembre de 2025, desde el componente de registro de convocatorias se realizó el cruce de información con la CRC.
2. Formula Eficacia ((0/0)*100)=0%
3. Formula Eficiencia ((0/0)*100)=0%
Diciembre
1. En el período comprendido entre noviembre y diciembre de 2025, desde el componente de registro de convocatorias se realizó el cruce de información con la CRC.
2. Formula Eficacia ((0/0)*100)=0%
3. Formula Eficiencia ((0/0)*100)=0%
Sin embargo, se asigna valor promedio de Eficacia de acuerdo con el desempeño de meses anteriores.</t>
  </si>
  <si>
    <t>1. A fecha de corte del presente informe, no se reportan convocatorias y/o gestiones cuya culminación fuera exitosa, en el período de referencia de la medición.
2. Ganadas: 0; Postuladas: 2.
📢 Recordatorio Importante
Toda convocatoria que la dependencia: Mapee, Identifique O sea invitada a participar:
📌 Debe ser notificada a la Oficina de Macroproyectos para su debido registro.
✅ Garantiza trazabilidad y articulación institucional.</t>
  </si>
  <si>
    <t>De acuerdo con el Seguimiento realizado a Plan Indicativo, y el reporte de la Secretaría, el avance en la ejecución de las metas del PDD asignados a la dependencia para la Vigencia 2025, es de 20,00% a corte de 30 de Junio.</t>
  </si>
  <si>
    <t>De acuerdo con el Seguimiento realizado a Plan Indicativo, y el reporte de la Secretaría, el avance acumulado en la ejecución de las metas del PDD a cargo de la dependencia  para la Vigencia 2025, es de 36,25% a corte de 31 de Agosto.</t>
  </si>
  <si>
    <t>De acuerdo con el Seguimiento realizado a Plan Indicativo, y el reporte de la Secretaría, el avance acumulado en la ejecución de las metas del PDD a cargo de la dependencia  para la Vigencia 2025, es de 37,50% a corte de 31 de Octubre.</t>
  </si>
  <si>
    <t>De acuerdo con el Seguimiento realizado a Plan Indicativo, y el reporte de la Secretaría, el avance en la ejecución de las metas del PDD a cargo de la dependencia  para la Vigencia 2025, es de 55,83% a corte de 31 de Diciembre.</t>
  </si>
  <si>
    <t>Se cargaron 4 proyectos de los 6 que tenien para reporte, sin embargo, se les otorga esa puntuación porque 2 de sus proyectos se enviaron a mesa de ayuda por presentar errores de plataforma.</t>
  </si>
  <si>
    <t>Se realiza el cargue completo de los proyectos que requieren reporte antes del tiempo establecido para el mes de julio, por lo tanto se le da la califición del 100%
Se realiza el cargue completo de los proyectos que requieren reporte, sin embargo 3 se cargan antes del tiempo establecido y  2 a tiempo para el mes de agosto, por lo que se otorga una calificación de 92%</t>
  </si>
  <si>
    <t>Se realiza el cargue completo de 7 de 7 de los proyectos que requieren reporte,  se realizó antes del tiempo establecido, por lo tanto se le da la califición del 100% para el mes de septiembre.
Se realiza el cargue completo de 8 de 9 de los proyectos que requieren reporte, estos se realizaron antes del tiempo establecido, 1 no fue reportado, por lo tanto se le da la califición del 88,89% para el mes de Octubre.
Estableciendo un promedio general del 94,44%</t>
  </si>
  <si>
    <t>Para el mes de  noviembre se realiza el cargue completo de 7 de 8  de los proyectos que requieren reporte, 1 no fue reportado,  por lo tanto se le da la califición general del 88%.
Para el mes de   diciembre se realiza el cargue completo de 4 de 9 de los proyectos que requieren reporte antes del tiempo establecido, 4 de 9 proyectos  A Tiempo y 1 no fue reportado,  por lo tanto, se le da la califición general del 80%.
Estableciendo un Porcentaje general de general del 84%</t>
  </si>
  <si>
    <t>Se realiza el cargue completo de información de los proyectos que requieren reporte antes del tiempo establecido, por lo tanto se le da la califición general del 94,44%</t>
  </si>
  <si>
    <t>Para el mes de noviembre se realiza el cargue completo de información de los proyectos que requieren reporte antes del tiempo establecido para 7 de los 8 proyectos que debian ser reportados, por lo tanto se le da la califición del 88%
Para el mes de diciembre Se realiza el cargue completo de información de 8 de los 9 proyectos que debian ser reportados, por lo tanto se le da la califición del 89%
Estableciendo un Porcentaje general de general del 88,5%</t>
  </si>
  <si>
    <t>No hubo reporte de información.</t>
  </si>
  <si>
    <t>Se envió información a tiempo de 4 proyectos.</t>
  </si>
  <si>
    <t>Junio: Se recibio información consistente de 2 proyectos.
Julio: De los 4 proyectos evaluados, 1 de los proyectos no se logro cargar por información inconsistente.</t>
  </si>
  <si>
    <t>Se evaluaron 13 proyectos y se determinó el puntaje de la calidad de la información con base en lo remitido por las sectoriales.</t>
  </si>
  <si>
    <t>Se evaluaron 14  proyectos y se determinó el puntaje de la calidad de la información con base en lo remitido por las sectoriales.</t>
  </si>
  <si>
    <t>Se califica  la mitad del  puntaje, considerando que si bien se realizo la actualización del portafolio antes de la fecha requerida para su informe.
 solo se realizó la actualiziaciónde los proyectps de  la subsecretaria de productividad e innovación. 
A partir del mes de agosto, donde se medirá Julio. Se tendrán en cuenta que todas las columnas correspondientes estén diligenciadas, tanto para efectos de la medición del modelo como para el sistema de alertas.</t>
  </si>
  <si>
    <t>Se validó la información de los proyectos registrados en Portafolio, evidenciando que a la fecha de 30 de Junio cuenta con 8 proyectos en ejecución  cuenta con  un registro completo, debido a los ajustes realizados para el sistema de alertas en el mes de julio se debe diligenciar las celdas faltantes</t>
  </si>
  <si>
    <t>Se califica con el mayor puntaje para ambos periodos, considerando que la dependencia realizó la actualización del portafolio antes de la fecha requeridapara su informe mensual, esto sugiere que ha cumplido con los requisitos deactualización y reporte de manera oportuna y eficiente, lo que ha contribuido aobtener la máxima calificación en ambos periodos.</t>
  </si>
  <si>
    <t>Se califica con el puntaje de 85% para ambos periodos, considerando que la dependencia realizó la actualización del portafolio antes de la fecha requerida para su informe mensual, pero continúa con la tabla comparativa de proyectos desactualizada  hasta el mes de julio de 2025.Se sugiere ponerse al día con prontitud.</t>
  </si>
  <si>
    <t>Considerando que aún la PIIP no está generando la medición del Índice de Cumplimiento a la Programación, se le da la mayor puntuación, considerando los criterios evaluados en el Indicador de Reporte.</t>
  </si>
  <si>
    <t>Teniendo en cuenta  los criterios evaluados en el Indicador de Reporte, en el que se realiza el cargue completo de los proyectos antes del tiempo establecido, se otorga la calificación del 100%para el mes de julio y tres proyectos antes de  tiempo y dos a tieempo para un 96%, en el mes de agosto .
Esto considerando que aún la PIIP no está generando la medición del Índice de Cumplimiento a la Programación.</t>
  </si>
  <si>
    <t>Teniendo en cuenta  los criterios evaluados en el Indicador de Reporte, en el que se realiza el cargue completo de los proyectos antes del tiempo establecido, se otorga la calificación general del   94,44%.
Esto considerando que aún la PIIP no está generando la medición del Índice de Cumplimiento a la Programación.</t>
  </si>
  <si>
    <t>Teniendo en cuenta  los criterios evaluados en el Indicador de Reporte, en el que se realiza el cargue completo de los proyectos antes del tiempo establecido, se otorga la calificación general del 88,25%
Esto considerando que aún la PIIP no está generando la medición del Índice de Cumplimiento a la Programación.</t>
  </si>
  <si>
    <t>Se evaluaron 9 proyectos, 8 en estado "en ejecución" y 1 en estado "Sin Contratar", Los proyectos en estado "En ejecución" fueron evaludados con los siguientes criterios: Desempeño en el cronograma y cumplimiento en el costos, la puntuación promedio de las dos establece la puntuación del proyecto. 
Para los proyectos en estado "Sin contratar", se establecieron un rango de días entre 1 - 180 días, si este excede los 180 días, obtendrá una puntuación de cero (0).</t>
  </si>
  <si>
    <t>Junio: Se evaluaron 8 proyectos; 6 en estado "En Ejecución"; 1 en estado "Contratado Sin Acta de Inicio"; 1 en estado "Sin Contratar".
Julio: Se evaluaron 9 proyectos; 5 en estado "En Ejecución"; 1 en estado "Contratado Sin Acta de Inicio"; 1 en estado "Sin Contratar" Y 2 en estado "Terminado".</t>
  </si>
  <si>
    <t>Indice de Rendimiento de la Programación a corte de Diciembre de 2025</t>
  </si>
  <si>
    <t>Se encuentra realizando  la digitación de los proyectos aliados, a corte de 30 de Junio contaba con 13 proyectos registrados en Portafolio</t>
  </si>
  <si>
    <t>Se evidenció el cargue de la Información completa de los proyectos Aliados.</t>
  </si>
  <si>
    <t>A corte de 30 de Junio se determino que la sectertaria No cuenta con proyectos suspendidos</t>
  </si>
  <si>
    <t>La calificación es  de 85,72% del  para ambos cortes  tiene  1 proyecto suspendido</t>
  </si>
  <si>
    <t>se realizo la medición desde el periodo 2024 a corte de 30 de Junio en  la cual se determinó que la secrertaría cuenta con 33 proyectos en proceso de liquidación, 2 proyectos que cuentan con acta final y cuenta con 9 liquidados</t>
  </si>
  <si>
    <t>Se realizó la medición desde el período 2024 a corte del 31 de Agosto de 2025, determinando que la dependencia contaba con 21 proyectos liquidadoss, 33  en proceso de liquidación, y 2 en Acta Final en el mes de Julio, y por otro lado, 21 proyectos liquidados, 34  en proceso de liquidación, y 2 en Acta Final en agosto.</t>
  </si>
  <si>
    <t>Se realizó la medición desde el período 2024 a corte de septiembre y octubre  de 2025, determinando que la dependencia cuenta con 13  proyectos liquidados y 34  en proceso de liquidación, 4 proyectos con acta final  de acuerdo con lo reportado en Portafolio para ambos períodos.</t>
  </si>
  <si>
    <t>Se realizó la medición desde el período 2024 a corte de noviembre y diciembre de 2025, determinando que la dependencia cuenta con 13  proyectos liquidados y 33  en proceso de liquidación, 4 proyectos con acta final  para ambos períodos.</t>
  </si>
  <si>
    <t>1. La dependencencia NO remitió información ninguna.
2. La dependencia no notificó a macroproyectos sobre convocatorias vigentes sobre las que participa y/o su estado.
3. Se valoró la información que tuvo a la mano Macroproyecto de cara a las convocatorias en el período de referencia con aplicabilidad directa a la sectorial.
4. Se tuvo en cuenta para la medición las gestiones adelantadas en los Ministerios y demás agencias del Estado.
5. Postuladas: 8; Mapeadas y/o gestiones total: 26; Penalizaciones: 1 (pero se decidió no aplicarla)</t>
  </si>
  <si>
    <t>Julio
1. En el período desde el componente de registro de convocatorias y cruzando la información de la CRC se identificaron la convocatoria de obras por impuestos y una de propuestas para conservación de loros y especies marinas (alianza con privado)
2. Se tiene reporte de períodos anteriores que no fueron incluidos en la medicion de Junio y se presentan en la medicion actual.
3. En el período se adelantaron diversas gestiones en el departamento de Sucre, incluyendo la las capacitaciónes asociadas a educacion ambiental y el fortalecimiento de la mesa agroclimática, del mismo modo se registra el proyecto de recuperacion ecologica en Guaranda, así como las alianzas productivas apoyadas y el proyecto de OXI
4. Formula Eficacia ((6/7)*100)=85,71%
5. Formula Eficiencia ((4/7)*100)=57,14%
Agosto
1. En el período desde el componente de registro de convocatorias y cruzando la información de la CRC se identifico la convocatoria de ADR, sobre la cual la OGME apoyó la postulación de dos organizaciones.
2. En el período se adelantaron diversas gestiones en el departamento de Sucre, incluyendo las campañas asociadas a la especie endémica del mono titiritero, así como el apoyo a organizaciones de mujeres en dos convocatorias de líneas del FOMMUR, y tambien del corredor agroclimático del DNP.
3. Formula Eficacia ((5/5)*100)=100,00%
4. Formula Eficiencia ((1/6)*100)=16,67% en el denominador se incluye la postulación del mes de junio de OXI lo cual incrementa el denominador respecto a las postuladas del períódo.</t>
  </si>
  <si>
    <t>Septiembre - Octubre
1. En el período desde el componente de Otros Mecanismos de Financiación  y cruzando la información de la CRC se identificaron al menos seis (6) convocatorias aplicables al sector, como el fondo para  el medio ambiente,  Rainforest Trust, Propuestas para Pueblos Indígenas y Comunidades Locales (PI&amp;CL), entre otras.
2. Se tuvo en cuenta el reporte de gestiones, en el período se identificaron 8 gestiones exitosas dentro de las que se destacan la gestión de la semana de la internacionalización, la Gran Alianza por la Seguridad Alimentaria y la gestión de 35.000 kilos de papa para el Banco de Alimentos.
3. Formula Eficacia ((8/14)*100)=57,14%
4. Formula Eficiencia ((8/8)*100)=100,00%</t>
  </si>
  <si>
    <t>Noviembre - Diciembre
1. En el período desde el componente de Otros Mecanismos de Financiación  y cruzando la información de la CRC Se identificaron como convocatorias directas al sector, 2 de Fommur, y ejecución de Alianzas productivas, la convocatoria de OXI
2. Se tuvo en cuenta el reporte de gestiones, para el período como gestión exitosa se enmarca la entrega de Alevinos en el mes de diciembre de 2025.
3. Formula Eficacia ((4/5)*100)=80,00%
4. Formula Eficiencia ((4/4)*100)=100,00%</t>
  </si>
  <si>
    <t>1. A fecha de corte del presente informe, no se reportan convocatorias y/o gestiones cuya culminación fuera exitosa.
2. Sobre las convocatorias vigentes y/o activas, una vez se generen los resultados deberan reportarse, para lo cual se deberán atender las mesas de acompañamiento a otros mecanismos para registro de Seguimiento.
3. Ganadas: 0; Postuladas: 8.
📢 Recordatorio Importante
Toda convocatoria que la dependencia: Mapee, Identifique O sea invitada a participar:
📌 Debe ser notificada a la Oficina de Macroproyectos para su debido registro.
✅ Garantiza trazabilidad y articulación institucional.</t>
  </si>
  <si>
    <t>De acuerdo con el Seguimiento realizado a Plan Indicativo, y el reporte de la Secretaría, el avance en la ejecución de las metas del PDD para la Vigencia 2025, es de 19,50% a corte de 30 de Junio.</t>
  </si>
  <si>
    <t>De acuerdo con el Seguimiento realizado a Plan Indicativo, y el reporte de la Secretaría, el avance acumulado en la ejecución de las metas del PDD a cargo de la dependencia  para la Vigencia 2025, es de 53,27% a corte de 31 de Agosto.</t>
  </si>
  <si>
    <t>De acuerdo con el Seguimiento realizado a Plan Indicativo, y el reporte de la Secretaría, el avance acumulado en la ejecución de las metas del PDD a cargo de la dependencia  para la Vigencia 2025, es de 55,69% a corte de 31 de Octubre.</t>
  </si>
  <si>
    <t>De acuerdo con el Seguimiento realizado a Plan Indicativo, y el reporte de la Secretaría, el avance en la ejecución de las metas del PDD a cargo de la dependencia  para la Vigencia 2025, es de 87,54% a corte de 31 de Diciembre.</t>
  </si>
  <si>
    <t>Los 4 proyectos que tenian pendiente de reporte fueron cargados antes de  tiempo</t>
  </si>
  <si>
    <t>Reporte antes de tiempo</t>
  </si>
  <si>
    <t>Se envió a tiepo la información de todos los proyectos.</t>
  </si>
  <si>
    <t>Se recibio la información solicitada</t>
  </si>
  <si>
    <t>Junio: No recibe un 100% debido a que en un proyecto falto información para el cargue previamente solicitada.
Julio: No se logró cargar información de dos proyecto por falta de información.</t>
  </si>
  <si>
    <t>Se califica con el mayor puntaje para ambos periodos, considerando que la dependencia realizó la actualización del portafolio antes de la fecha requerida para su informe mensual.Se califica con el mayor puntaje para ambos periodos, considerando que la dependencia realizó la actualización del portafolio antes de la fecha requerida para su informe mensual.</t>
  </si>
  <si>
    <t>Se califica con el puntaje de 100% para ambos periodos, considerando que la dependencia realizó la actualización del portafolio antes de la fecha requerida para su informe mensual.</t>
  </si>
  <si>
    <t>Se realizó la verificación de la informacion de acuerdo a los proyectos en ejecución en la cual se evidencia que para el mes de junio cuenta con la información completa. A partir del mes de agosto, donde se medirá Julio. Se tendrán en cuenta que todas las columnas correspondientes estén diligenciadas, tanto para efectos de la medición del modelo como para el sistema de alertas.</t>
  </si>
  <si>
    <t>Se califica con el puntaje de 85% para ambos periodos, considerando que la dependencia realizó la actualización del portafolio antes de la fecha requerida para su informe mensual, pero continúa  la tabla comparativa de proyectos desactualizada  hasta el mes de junio de 2025.Se sugiere colocarse al día con prontitud.</t>
  </si>
  <si>
    <t>Se evaluarón cuatro (4) proyectos, dos (2) en en estado "Sin Contratar" y dos (2) en estado "En Ejecución", los proyectos en estado sin contratar fueron evaluados en cero debido a que pasaron los tiempos justificados para su contratación.</t>
  </si>
  <si>
    <t>Junio: Se evaluarón cuatro (4) proyectos; Uno (1) en en estado "Sin Contratar" ; Uno (1) en en estado "Contratado Sin Acta de Inicio" y dos (2) en estado "En Ejecución".
Julio:Se evaluarón cuatro (4) proyectos; Uno (1) en en estado "Sin Contratar" ; y tres (3) en estado "En Ejecución".</t>
  </si>
  <si>
    <t>Resultado del promedio de los índices de cada proyecto estratégico a corte del 30 de Junio</t>
  </si>
  <si>
    <t>Se evidenció cargue de la información completa</t>
  </si>
  <si>
    <t>A corte de 30 de Junio  se determinó que la sectertaría no cuenta con proyectos suspendidos.</t>
  </si>
  <si>
    <t>Se  realizó la medición desde el periodo 2024 a corte de  30 de noviembre tenia 0 proyectos suspendidos  y a corte de 31 de diciembre  de 2025 1 proyecto suspendido</t>
  </si>
  <si>
    <t>Se realizó la medición desde el periodo 2024 a corte de 30 de Junio 2025, en  la cual se determinó que la sectertaria cuenta con 1 proyecto en proceso de liquidación,1 proyecto cuenta con acta final  y 5 proyectos liquidados</t>
  </si>
  <si>
    <t>Se realizó la medición desde el período 2024 a corte del 31 de Agosto de 2025, determinando que la dependencia contaba con 5 proyectos liquidadoss, 1  en proceso de liquidación, y 1 en Acta Final en el mes de Julio, y otro lado, 5 proyectos liquidados, 2  en proceso de liquidación, y 4 en Acta Final en agosto.</t>
  </si>
  <si>
    <t>Se realizó la medición desde el período 2024 a corte del 30 de septiembre a 31 de octubre  de 2025, determinando que la dependencia cuenta con 0  proyectos liquidados, 1  en proceso de liquidación,  y 2 proyectos con acta final  de acuerdo con lo reportado en Portafolio para ambos períodos.</t>
  </si>
  <si>
    <t>Se realizó la medición desde el período 2024 a corte de noviembre y diciembre  de  2025, determinando que la dependencia cuenta con 0  proyectos liquidado y 1  proyecto en proceso de liquidación,  1 proyecto con acta final de acuerdo con lo reportado en Portafolio para ambos períodos</t>
  </si>
  <si>
    <t>1. La valoración de la dependencia se hizo con información aportada por la Secretaría de planeación y la misma Oficina de Macroproyectos.
2. La dependencia obtuvo una puntuación real de 87,50.
3. Postuladas: 7; Mapeadas y/o gestiones total: 8.</t>
  </si>
  <si>
    <t>Julio
1. En el período desde el componente de registro de convocatorias y cruzando la información de la CRC se identificaron 2 convocatorias, Premio OLADE y Estufas que transforman, a la primera se postularon a la segunda no se hizo difusión a municipios.
2. Se toma como reporte de períodos anteriores información efectiva extemporanea sobre la convocatoria municipios y territorios energeticos, reporta la dependencia que el municipio de El Roble se encuentra en asignacion de recursos.
3. En el período se gestionó o culminaron los estudios y diseños del proyecto de redes para suministro de gas natural domiciliario, en los corregimientos y veredas de los municipios de toluviejo, coloso, chalan, ovejas y morroa.
4. Formula Eficacia ((3/4)*100)=75,00%
5. Formula Eficiencia ((2/3)*100)=66,67%
Agosto
1.  Se toma como reporte de períodos anteriores información la postulacion a premio OLADE que queda en el cociente del inidcador de eficiencia.
2. En el período se gestionó la participación en la convocatoria "Caribe Cambia tu Energia" y se ejecuta de manera efectiva el proyecto en Sincé de subsidios a cargo por conexión
3. Formula Eficacia ((2/2)*100)=100,00%
4. Formula Eficiencia ((2/3)*100)=66,67%</t>
  </si>
  <si>
    <t>Septiembre - Octubre
1. En el período desde el componente de Otros Mecanismos de Financiación  y cruzando la información de la CRC se identificaron 3 convocatorias dentro de las cuales se encuentran la de Draper Richards Kaplan, Ideas grandes y audaces para un futuro mejor de la Fundación Roddenberry, entre otras.
2. Se tuvo en cuenta el reporte de gestiones, dentro de las que se cuentan la implementación del Banco de Alimentos "Jesus Paternina Samur", la entrega de donaciones de la DIAN a mujeres emprendedoras, estrategias de intervención (varias) y enentos divulgación como foros.
3. Formula Eficacia ((9/12)*100)=75,00%
4. Formula Eficiencia ((9/9)*100)=100,00%</t>
  </si>
  <si>
    <t>1. A fecha de corte del presente informe, no se reportan convocatorias y/o gestiones cuya culminación fuera exitosa, en el período de referencia de la medición.
2. Ganadas: 2; Postuladas: 1.
📢 Recordatorio Importante
Toda convocatoria que la dependencia: Mapee, Identifique O sea invitada a participar:
📌 Debe ser notificada a la Oficina de Macroproyectos para su debido registro.
✅ Garantiza trazabilidad y articulación institucional.</t>
  </si>
  <si>
    <t>De acuerdo con el Seguimiento realizado a Plan Indicativo, y el reporte de la Secretaría, el avance en la ejecución de las metas del PDD a cargo de la dependencia  para la Vigencia 2025, es de 37,61% a corte de 30 de Junio.</t>
  </si>
  <si>
    <t>De acuerdo con el Seguimiento realizado a Plan Indicativo, y el reporte de la Secretaría, el avance acumulado en la ejecución de las metas del PDD a cargo de la dependencia  para la Vigencia 2025, es de 41,34% a corte de 31 de Agosto.</t>
  </si>
  <si>
    <t>De acuerdo con el Seguimiento realizado a Plan Indicativo, y el reporte de la Secretaría, el avance acumulado en la ejecución de las metas del PDD a cargo de la dependencia  para la Vigencia 2025, es de 63,19% a corte de 31 de Octubre.</t>
  </si>
  <si>
    <t>De acuerdo con el Seguimiento realizado a Plan Indicativo, y el reporte de la Secretaría, el avance en la ejecución de las metas del PDD a cargo de la dependencia  para la Vigencia 2025, es de 86.42% a corte de 31 de Diciembre.</t>
  </si>
  <si>
    <t>Se cargó a tiempo los 2 proyectos que estaban pendientes de reporte.</t>
  </si>
  <si>
    <t>Se realiza el cargue completo de los proyectos que requieren reporte antes del tiempo establecido, por lo tanto, se le da la califición del 100%</t>
  </si>
  <si>
    <t>Se cargaron los documentos que soportan la ejecución, tales como : Contratos, CDP´s, RP´s, Acta de inicio, Informes de avance, comprobante de pago, entre otros, a los que hubo lugar para los proyecto de infraestructura deportiva.
Para el proyecto de nomina se cargo información incompleta, falto información de algunas actividades pot lo que se le otorga esta puntuación</t>
  </si>
  <si>
    <t>Mes cargado en Gesproy</t>
  </si>
  <si>
    <t>Los proyectos ejecutados por entidades descentralizadas se evalúan con base en la ejecución reportada en la plataforma, en tanto dichas entidades son las responsables directas del cargue y envío de la información, sin que esta sea remitida de manera directa por la entidad territorial.</t>
  </si>
  <si>
    <t>La dependencia realizó la actualización del portafolio a tiempo en la fecha requerida para su informe mensual en  ambos cortes .</t>
  </si>
  <si>
    <t>La dependencia realizó la actualización del portafolio a tiempo en la fecha requerida para su informe mensual en  ambos cortes,</t>
  </si>
  <si>
    <t>Cuenta con  proyectos 6  en ejecución
A partir del mes de agosto, donde se medirá Julio. Se tendrán en cuenta que todas las columnas correspondientes estén diligenciadas, tanto para efectos de la medición del modelo como para el sistema de alertas.</t>
  </si>
  <si>
    <t>Se califica con 80%  para ambos periodos, considerando que la dependencia realizó la actualización del portafolio antes de la fecha requerida para su informe mensual, se debe realizar continuidad en las tablas de avance acumulado y estas se encuentran hasta el mes de junio.</t>
  </si>
  <si>
    <t>La dependencia realizó la actualización del portafolio a tiempo en la fecha requerida para su informe mensual en  ambos cortes, se sugiere continuar con la actualización de las columnas que están subrayada desde el día del seguimiento.</t>
  </si>
  <si>
    <t>Se evaluaron cuatro (4) proyectos, dos (2) en estado "Sin Contratar" y dos (2) en estado "En Ejecución".
Los proyectos en estado "En ejecución" fueron evaludados con los siguientes criterios: Desempeño en el cronograma y cumplimiento en el costos, la puntuación promedio de las dos establece la puntuación del proyecto. 
Para los proyectos en estado "Sin contratar", se establecieron un rango de días entre 1 - 180 días, si este excede los 180 días, obtendrá una puntuación de cero (0).</t>
  </si>
  <si>
    <t>No se realizó el cargue completo de la información de proyectos Aliados, para el caso de INDERSUCRE aquellos proyectos financiados con recursos de las transferencias y que son administrados por el instituto serán considerados ALIADOS.</t>
  </si>
  <si>
    <t>Se realizo cargue de la información de los proyectos aliados en Portafolio</t>
  </si>
  <si>
    <t>Se verificó información, y a fecha del 30 de Junio de 2024 se determinó que la dependencia no cuenta con proyectos suspendidos.</t>
  </si>
  <si>
    <t>Se  realizó la medición desde el periodo 2024 a corte de  31 de Julio y 31 de agosto de 2025  en ambos periodos tenia  0 proyectos suspendidos y   6  proyectos en ejecución hasta  la fecha.</t>
  </si>
  <si>
    <t>Se realizó la medición desde el período 2024 a corte del 30 de Junio de 2024, determinando que la dependencia cuenta con 39 proyectos liquidados y 10 en proceso de liquidación.</t>
  </si>
  <si>
    <t>Se realizó la medición desde el período 2024 a corte del 31 de Agosto de 2025, determinando que la dependencia cuenta con 39 proyectos liquidados y 10 en proceso de liquidación, de acuerdo con lo reportado en Portafolio para ambos períodos.</t>
  </si>
  <si>
    <t>Se realizó la medición desde el período 2024 a corte del 31 de octubre  de 2025, determinando que la dependencia cuenta con 37 proyectos liquidados y 10 en proceso de liquidación, de acuerdo con lo reportado en Portafolio para ambos períodos.</t>
  </si>
  <si>
    <t>Se realizó la medición desde el período 2024 a corte de noviembre y diciembre  de 2025, determinando que la dependencia cuenta con 37 proyectos liquidados  en ambos meses y  para el mes de noviembre tiene 10 proyectos en proceso de liquidación  y 11 proyectos  para el mes de  diciembre de acuerdo con lo reportado en Portafolio para ambos períodos.</t>
  </si>
  <si>
    <t>1. La dependencia envió información SOPORTADA.
2. La dependencia NO notificó a Macroproyectos sobre las convocatorias y/o gestiones de otros mecanismos para su registro efectivo, obtuvo penalización por información incompleta.
3. La dependencia envió información en el tiempo establecido.
4. La dependencia obtuvo una puntuación de 100 en el parámetro sin embargo se aplicó penalidad, por Informacion incompleta, como se informo en el punto 2..</t>
  </si>
  <si>
    <t>Julio 
1. El reporte de "Proveniente de períodos anteriores", proviene de una convocatoria que por extemporanea presentacion no fue medida en el mes de Junio y cuya postulacion se evidencio como realizada. (Convocatoria KPSC - Corea del Sur)
2. En el caso de reporte de gestiónes del portafolio, no se cuentan los estudios y diseños de la pista de El Roble, porque se cuenta la gestión de radicacion del proyecto en el MinDeporte.
3. Como no se obtiene reporte de actualizacion de 6 gestiones adelantadas en el Min isterio, estas se registran dentro de postuladas pero en el indicador de eficiencia.
4. Se cuenta a demás la gestion para la inclusion de la Villa Olímpica Fases I y II en el Pacto del Golfo de Morrosquillo como postulación, la inclusion efectiva de los proyectos quedó para el período siguiente. (Otra Fuente)
5. Convenio con MinDeporte programa Deportes + (Otra Fuente)
6. Formula Eficacia ((4/4)*100)=100%
7. Formula Eficiencia ((2/100)*100)=100%
Agosto
1. El mecanismo de Obras por Impuestos contaba con una línea de inversión para postular proyectos de su dependencia, sin embargo, no se realizó dicha postulación.
2. En el caso de reporte de gestiónes del portafolio,se cuenta lla política departamental de deporte
3. Como no se obtiene reporte de actualizacion de 6 gestiones adelantadas en el Min isterio, estas se registran dentro de postuladas pero en el indicador de eficiencia.
4. Se cuenta además como efectiva la gestion para la inclusion de la Villa Olímpica Fases I y II en el Pacto del Golfo de Morrosquillo. (Otra Fuente)
5. Convenio con MinDeporte Programa Nacional de Hábitos y Estilos de Vida Saludable – HEVS, programa Nacional de Vías Activas y Saludables – VAS y Programa Nacional de Capacitación del Grupo Interno de Trabajo de Actividad Física + (Otra Fuente)
6. Para el caso de la eficiencia salen de postuladas "Villa Olimpica", "Tasa deporte" Y "Programa Deporte +" quedandoosla las 6 sin actualización en minDeporte y la de KPSC para un total de 7; se incluyen 2 del período actual como efectivas, para un total de 9.
7. Formula Eficacia ((3/4)*100)=75%
8. Formula Eficiencia ((3/9)*100)=33,33%</t>
  </si>
  <si>
    <t>Septiembre - Octubre
1. En el período desde el componente de Otros Mecanismos de Financiación  y cruzando la información de la CRC se identificó la Convocatoria de obras por impuestos opción convenio, de la cual no se tiene registro de participación.
2. Se tuvo en cuenta el reporte de gestiones, dentro de las que se cuentan lla carrera "Ola Rosa" y el programa nacional de recreación infantil que se desarrolló en alianza con el gobierno nacional.
3. Formula Eficacia ((2/3)*100)=66,67%
4. Formula Eficiencia ((2/2)*100)=100,00%</t>
  </si>
  <si>
    <t>Noviembre - Diciembre
1. En el período comprendido entre noviembre y diciembre de 2025, desde el componente de registro de convocatorias se realizó el cruce de información con la CRC y se identificó como activa la convocatoria de OXI opción Convenio.
2. Se cuentan dentro de las gestiones exitosas la consecución de los recursos para el cierre financiero de la Fase II de la Villa Olimpica y la realización de la campaña "Mi territorio sin Violencias"
3. Formula Eficacia ((2/3)*100)=66,67%
4. Formula Eficiencia ((2/2)*100)=100%</t>
  </si>
  <si>
    <t>1. A fecha de corte del presente informe, se reportan tres (3) convocatorias y/o gestiones cuya culminación fue exitosa.
2. Sobre las convocatorias vigentes y/o activas, una vez se generen los resultados deberan reportarse, por lo cual se deberán atender las mesas de acompañamiento a otros mecanismos para registro de Seguimiento.
3. Ganadas: 3; Postuladas: 12.
📢 Recordatorio Importante
Toda convocatoria que la dependencia: Mapee, Identifique O sea invitada a participar:
📌 Debe ser notificada a la Oficina de Macroproyectos para su debido registro.
✅ Garantiza trazabilidad y articulación institucional.</t>
  </si>
  <si>
    <t>De acuerdo con análisis realizado de las metas desfinanciadas, la dependencia demostró un aumento  en la gestión de sus metas desfinanciadas con respecto a lo proyectado desde enero 2025.</t>
  </si>
  <si>
    <t>De acuerdo con el Seguimiento realizado a Plan Indicativo, y el reporte de la Secretaría, el avance en la ejecución de las metas del PDD a cargo de la dependencia  para la Vigencia 2025, es de 25,50% a corte de 30 de Junio.</t>
  </si>
  <si>
    <t>De acuerdo con el Seguimiento realizado a Plan Indicativo, y el reporte de la Secretaría, el avance en la ejecución de las metas del PDD a cargo de la dependencia  para la Vigencia 2025, es de 59,94% a corte de 31 de agosto.</t>
  </si>
  <si>
    <t>De acuerdo con el Seguimiento realizado a Plan Indicativo, y el reporte de la Secretaría, el avance en la ejecución de las metas del PDD a cargo de la dependencia  para la Vigencia 2025, es de 77.27% a corte de 31 de Octubre.</t>
  </si>
  <si>
    <t>De acuerdo con el Seguimiento realizado a Plan Indicativo, y el reporte de la Secretaría, el avance en la ejecución de las metas del PDD a cargo de la dependencia  para la Vigencia 2025, es de 93,33% a corte de 31 de Diciembre.</t>
  </si>
  <si>
    <t>Se otorga esta puntuación dado que de los  6 proyectos que tenian pendientes 4 fueron reportados a tiempo.</t>
  </si>
  <si>
    <t>Se realiza el cargue completo de los proyectos que requieren reporte antes del tiempo establecido para el mes de julio, por lo tanto se le da la califición del 100%.
Para el mes de Agosto realizan el cargue completo de 9 proyectos, 4 de ellos debian ser reportados pero no habian pasado a estado "en ejecución" en la PIIP, por lo que se les penaliza con un 30%.</t>
  </si>
  <si>
    <t>Se realiza el cargue completo de 10 de 13  de los proyectos que requieren reporte, estos se realizaron antes del tiempo establecido, por lo tanto se le da la califición del 77% para el mes de septiembre.
Se realiza el cargue completo de 12 de 13  de los proyectos que requieren reporte, estos se realizaron antes del tiempo establecido, por lo tanto se le da la califición del 92% para el mes de Octubre.
Estableciendo un proyecto general del 84,5%</t>
  </si>
  <si>
    <t>Para el mes de  noviembre se realiza el cargue completo de 7 de 14  de los proyectos que requieren reporte, antes del tiempo establecido, 4 de 14 proyectos A Tiempo, y 3 no fueron reportados, por lo tanto se le da la califición general del 73%.
 Para el mes de  Diciembre se realiza el cargue completo de 12 de 19  de los proyectos que requieren reporte, antes del tiempo establecido, 4 de 14 proyectos A Tiempo, y 3 no fueron reportados, por lo tanto se le da la califición general del 61%.
Estableciendo un proyecto general del 67%</t>
  </si>
  <si>
    <t>Se realiza el cargue completo de los proyectos que requieren reporte antes del tiempo establecido, por lo tanto se le da la califición del 100%.
Para el mes de Agosto realizan el cargue completo de 9 proyectos, 4 de ellos debian ser reportados pero no habian pasado a estado "en ejecución" en la PIIP, por lo que se les penaliza con un 30%.</t>
  </si>
  <si>
    <t>Se realiza el cargue completo de información de los proyectos que tuvieron reporte antes del tiempo establecido, por lo tanto se le da la califición del 77%, y 92% respectivamente.</t>
  </si>
  <si>
    <t>Se realiza el cargue completo de información de los proyectos que tuvieron reporte antes del tiempo establecido, por lo tanto se le da la califición del 73%, y 61% respectivamente.</t>
  </si>
  <si>
    <t>La dependencia realizó la actualización del portafolio después de la fecha requerida para su informe mensual en  ambos cortes .</t>
  </si>
  <si>
    <t>Se realizo el cargue de la información solicitada para el mes de junio 
A partir del mes de agosto, donde se medirá Julio. Se tendrán en cuenta que todas las columnas correspondientes estén diligenciadas, tanto para efectos de la medición del modelo como para el sistema de alertas.</t>
  </si>
  <si>
    <t>Se califica con el puntaje de 70% para ambos periodos , considerando que  la dependencia  tenia  4  proyectos  que  que no estaban  resgistrados en portafolio para un ponderado final de 2,33%.</t>
  </si>
  <si>
    <t>Se califica con el puntaje de 70% para ambos periodos , considerando que  la dependencia  aún no ha actualizado la tabla comparativa de proyectos que se encuentra en el mes de septiembre de 2025</t>
  </si>
  <si>
    <t>Teniendo en cuenta  los criterios evaluados en el Indicador de Reporte, en el que se realiza el cargue completo de los proyectos antes del tiempo establecido, se otorga la calificación del 100% y 70% para el mes de agosto.
Esto considerando que aún la PIIP no está generando la medición del Índice de Cumplimiento a la Programación.</t>
  </si>
  <si>
    <t>Teniendo en cuenta  los criterios evaluados en el Indicador de Reporte, en el que se realiza el cargue completo de los proyectos antes del tiempo establecido, se otorga la calificación general del 84,5%.
Esto considerando que aún la PIIP no está generando la medición del Índice de Cumplimiento a la Programación.</t>
  </si>
  <si>
    <t>Teniendo en cuenta  los criterios evaluados en el Indicador de Reporte, en el que se realiza el cargue completo de los proyectos antes del tiempo establecido, se otorga la calificación general del  67%.
Esto considerando que aún la PIIP no está generando la medición del Índice de Cumplimiento a la Programación.</t>
  </si>
  <si>
    <t>Se evaluaron tres (3) proyectos  en estado "En Ejecución".
Los proyectos en estado "En ejecución" fueron evaludados con los siguientes criterios: Desempeño en el cronograma y cumplimiento en el costos, la puntuación promedio de las dos establece la puntuación del proyecto.</t>
  </si>
  <si>
    <t>Se evaluaron tres (3) proyectos  en estado "En Ejecución".
Los proyectos en estado "En ejecución" fueron evaludados con los siguientes criterios: Desempeño en el cronograma y cumplimiento en el costos, la puntuación promedio de los dos criterios establece la puntuación del proyecto.</t>
  </si>
  <si>
    <t>Resultado del promedio de los índices de cada proyecto estratégico en el mes de Junio</t>
  </si>
  <si>
    <t>Se evidenció cargue de la información completa.
Para el caso de los proyectos ejecutados con recursos de la transferencias por conceptos de estampilla o funcionamiento, que sea ejecutados por el Fondo, serán considerados Aliados para el reporte en portafolio.</t>
  </si>
  <si>
    <t>se evidencio cargue de la información completa</t>
  </si>
  <si>
    <t>A corte de 30 de Junio  se determinó que la dependencia no cuenta con proyectos suspendidos</t>
  </si>
  <si>
    <t>Se  realizó la medición desde el periodo 2024 a corte de  30 de septiembre y 31 de octubre  de 2025  en el mes de septiembre tiene un proyecto suspendido con fecha de 4 de septiembre de 2025 que es el Embarcadero Público. Para el mes de octubre  0 proyecto suspendido.</t>
  </si>
  <si>
    <t>Se  realizó la medición desde el periodo 2024 a corte de  30 de noviembre y 31 de diciembre de 2025  no tiene proyectos suspendidos.</t>
  </si>
  <si>
    <t>se realizó la medición desde el periodo 2024 a corte de 30 de Junio en  la cual se determinó que la dependencia cuenta con 4 proyectos en proceso de liquidación , 3 proyectos que cuentan con acta final a la fecha, 10 proyectos liquidados</t>
  </si>
  <si>
    <t>Se realizó la medición desde el período 2024 a corte del 31 de Agosto de 2025, determinando que la dependencia contaba con 11 proyectos liquidadoss, 2  en proceso de liquidación, y 4 en Acta Final en el mes de Julio, y otro lado, 13 proyectos liquidados, 2  en proceso de liquidación, y 1 en Acta Final en agosto.</t>
  </si>
  <si>
    <t>Se realizó la medición desde el período 2024 a corte del septiembre y octubre  de 2025, determinando que la dependencia cuenta con 5 proyectos liquidados ,2 en proceso de liquidación, 1 proyecto con acta final  de acuerdo con lo reportado en Portafolio para ambos períodos.</t>
  </si>
  <si>
    <t>Se realizó la medición desde el período 2024 a corte del 30 de noviembre y 31 de diciembre  de 2025, determinando que la dependencia cuenta con 5 proyectos liquidados para el mes de noviembre y 2 proyectos en proceso de liquidación y  1 proyecto con acta final .l .En el mes de diciembre  6 proyectos liquidados y   2 en proceso de liquidación, de acuerdo con lo reportado en Portafolio para ambos períodos</t>
  </si>
  <si>
    <t>1. Se valoró la información que tuvo a la mano Macroproyecto de cara a las convocatorias en el período de referencia con aplicabilidad directa a la sectorial.
2. Se tuvo en cuenta para la medición las gestiones adelantadas en los Ministerios y demás agencias del Estado u otros mecanismos de financiación.
3. Postuladas: 5; Mapeadas y/o gestiones total: 11</t>
  </si>
  <si>
    <t>Julio
1. En el período desde el componente de registro de convocatorias y cruzando la información de la CRC se identificó la convocatoria de cocinas para el desarrolloo sobre la cual no se realizo gestión.
2. Se toma como reporte de períodos anteriores la postulacion sobre la convocatoria a KPSC sobre la cual no se tiene reporte de seguimiento y se agrupa en el indicador de eficiencia.
3. En el período se gestionó una alianza formativa, se desarrolló la estrategia conexionarme y se hizo una alianza con el museo nacional , así como se brindó asistencia técnica a 10 gestores culturales en Santiago de Tolú.
4. Formula Eficacia ((4/5)*100)=80,00%
5. Formula Eficiencia ((4/5)*100)=80,00%, se precisa que las 4 acciones y/o grestiones postuladas y/o ejecutadas se llevaron a cabo, sin embargo incrementa el denominador del indicador la postulación sobre KPSC que se indicó en el punto 2. 
Agosto
1. En el período desde el componente de registro de convocatorias y cruzando la información de la CRC se identificó la convocatoria de obras por im puestos sobre la cual no se realizó gestión.
2. Se toma como reporte de períodos anteriores la postulacion sobre la convocatoria a KPSC sobre la cual no se tiene reporte de seguimiento y se agrupa en el indicador de eficiencia.
3. En el período se gestionó una un taller formativo, el curso saborees con historia para jóvenes , así como se brindó asistencia técnica a 9 gestores culturales en Santiago de Tolú.
4. Formula Eficacia ((3/4)*100)=75,00%
5. Formula Eficiencia ((3/5)*100)=80,00%, se precisa que las 3 acciones y/o grestiones postuladas y/o ejecutadas se llevaron a cabo, sin embargo incrementa el denominador del indicador la postulación sobre KPSC que se indicó en el punto 2.</t>
  </si>
  <si>
    <t>Septiembre - Octubre
1. En el período desde el componente de Otros Mecanismos de Financiación  y cruzando la información de la CRC se iidentificaron las convocatorias de CO-CREA y del Programa de Concertación, sobre las cuales no se recibió reporte de participación o de acciones de incidencia.
2. Se tuvo en cuenta el reporte de gestiones, por ejemplo, el encuentro de escritores, la feria del libro, el Consejo Departamental de Cultura y la sala de memorias y nuevas narrativas.
3. Formula Eficacia ((4/6)*100)= 66,67%
4. Formula Eficiencia ((4/4)*100)=100,00%</t>
  </si>
  <si>
    <t>Noviembre - Diciembre
1. En el período desde el componente de Otros Mecanismos de Financiación  y cruzando la información de la CRC Se identificaron como convocatorias directas al Sector, una  Obras por Impuestos Opción Convenio, sobre la que no existe registro de postulación.
2. Se tuvo en cuenta el reporte de gestiones, por ejemplo, la participación en la fERIA "Colombia son las Regiones, El Conversatorio de salvaguarda del patrimonio cultural del departamento y el XI Festival de Sucre.
3. Formula Eficacia ((3/4)*100)= 75,00%
4. Formula Eficiencia ((3/3)*100)=100,00%</t>
  </si>
  <si>
    <t>1. A fecha de corte del presente informe, no se reportan convocatorias y/o gestiones cuya culminación fuera exitosa, en el período de referencia de la medición.
2. Ganadas: 0; Postuladas: 5
📢 Recordatorio Importante
Toda convocatoria que la dependencia: Mapee, Identifique O sea invitada a participar:
📌 Debe ser notificada a la Oficina de Macroproyectos para su debido registro.
✅ Garantiza trazabilidad y articulación institucional.</t>
  </si>
  <si>
    <t>De acuerdo con análisis realizado de las metas desfinanciadas, la Secretaría  demostró un aumento en sus metas financiadas.</t>
  </si>
  <si>
    <t>De acuerdo con el Seguimiento realizado a Plan Indicativo, y el reporte de la Secretaría, el avance en la ejecución de las metas del PDD a cargo de la dependencia para la Vigencia 2025, es de 2,95% a corte de 30 de Junio.</t>
  </si>
  <si>
    <t>De acuerdo con el Seguimiento realizado a Plan Indicativo, y el reporte de la Secretaría, el avance acumulado en la ejecución de las metas del PDD a cargo de la dependencia  para la Vigencia 2025, es de 37,37% a corte de 31 de Agosto.</t>
  </si>
  <si>
    <t>De acuerdo con el Seguimiento realizado a Plan Indicativo, y el reporte de la Secretaría, el avance acumulado en la ejecución de las metas del PDD a cargo de la dependencia  para la Vigencia 2025, es de 47,07% a corte de 31 de Octubre.</t>
  </si>
  <si>
    <t>De acuerdo con el Seguimiento realizado a Plan Indicativo, y el reporte de la Secretaría, el avance en la ejecución de las metas del PDD a cargo de la dependencia  para la Vigencia 2025, es de 64.44% a corte de 31 de Diciembre.</t>
  </si>
  <si>
    <t>Se cargo el proyecto que estaba pendiente por reportar</t>
  </si>
  <si>
    <t>Para el mes de noviembre se realiza el cargue completo de los proyectos que requieren reporte antes del tiempo establecido, por lo tanto se le da la califición del 100%
Para el mes de diciembre no se realiza el cargue de  uno de los proyectos que requieren reporte y se reporto el otro proyecto, el cual se realizo antes del tiempo establecido, por lo que se les da una califición del 100% en el mes de noviembre y 50% en el mes de Divciembre.
Estableciendo un promedio general del 75%</t>
  </si>
  <si>
    <t>Para el mes de noviembre se realiza el cargue completo de información de los proyectos que requieren reporte antes del tiempo establecido, por lo tanto se le da la califición del 100%
Para el mes de diciembre se realiza el cargue completo de información de uno de los  proyectos que requieren reporte antes del tiempo establecido, por lo tanto se le da la califición del 50%.
Estableciendo un promedio general del 75%</t>
  </si>
  <si>
    <t>Se califica el mayor puntaje, considerando que se realizo la actualización del portafolio antes de la fecha requerida para su informe.
A partir del mes de agosto, donde se medirá Julio. Se tendrán en cuenta que todas las columnas correspondientes estén diligenciadas, tanto para efectos de la medición del modelo como para el sistema de alertas.Hacienda</t>
  </si>
  <si>
    <t>Se diligencio la información requerida respecto a la ejecución en el mes de junio cuenta con 1  proyecto en ejecución
A partir del mes de agosto, donde se medirá Julio. Se tendrán en cuenta que todas las columnas correspondientes estén diligenciadas, tanto para efectos de la medición del modelo como para el sistema de alertas.Hacienda</t>
  </si>
  <si>
    <t>Se califica con el puntaje de 90% para ambos periodos, considerando que la dependencia realizó la actualización del portafolio antes de la fecha requerida para su informe mensual, esto sugiere que ha cumplido con los requisitos de actualización y reporte de manera oportuna y eficiente, pero continúa  desactualizada la tabla comparativa de proyectos que se encuentra  hasta el mes de agosto de 2025.</t>
  </si>
  <si>
    <t>Se califica con el puntaje  de 90% para ambos periodos, considerando que la dependencia realizó la actualización del portafolio antes de la fecha requerida para su informe mensual, esto sugiere que ha cumplido con los requisitos de actualización y reporte de manera oportuna y eficiente, pero continúa  desactualizada la tabla comparativa de proyectos que se encuentra  hasta el mes de agosto de 2025.</t>
  </si>
  <si>
    <t>Teniendo en cuenta  los criterios evaluados en el Indicador de Reporte, en el que se realiza el cargue completo de los proyectos antes del tiempo establecido, se otorga la calificación general del 92,5% .
Esto considerando que aún la PIIP no está generando la medición del Índice de Cumplimiento a la Programación.</t>
  </si>
  <si>
    <t>Teniendo en cuenta  los criterios evaluados en el Indicador de Reporte, en el que se realiza el cargue completo de los proyectos antes del tiempo establecido, se otorga la calificación general del  75%.
Esto considerando que aún la PIIP no está generando la medición del Índice de Cumplimiento a la Programación.</t>
  </si>
  <si>
    <t>A corte de 30 de Junio se determinó que la dependencia cuenta con 1 proyecto en ejecución 0 suspendidos</t>
  </si>
  <si>
    <t>Se  realizó la medición desde el periodo 2024 a corte de noviembre y diciembre de 2025  en ambos periodos tenia  0 proyectos suspendidos hasta  la fecha.</t>
  </si>
  <si>
    <t>Se realizó la medición desde el periodo 2024 a corte de 30 de Junio en  la cual se determinó que la dependencia cuenta con 2 proyectos en proceso de liquidacion 1 proyecto que cuenta con acta final y  4 liquidados</t>
  </si>
  <si>
    <t>Se realizó la medición desde el período 2024 a corte del 31 de Agosto de 2025, determinando que la dependencia cuenta con 4 proyectos liquidados y 2 en proceso de liquidación, de acuerdo con lo reportado en Portafolio para ambos períodos.</t>
  </si>
  <si>
    <t>Se realizó la medición desde el período 2024 a corte de 30 de septiembre y 31  de octubre  de 2025, determinando que la dependencia cuenta con 1 proyectos liquidado y  2 proyecto en proceso de liquidación, de acuerdo con lo reportado en Portafolio para ambos períodos</t>
  </si>
  <si>
    <t>Se realizó la medición desde el período 2024 a corte de noviembre y diciembre  de  2025, determinando que la dependencia cuenta con 1 proyectos liquidado y 2  proyecto en proceso de liquidación, de acuerdo con lo reportado en Portafolio para ambos períodos</t>
  </si>
  <si>
    <t>1. La dependencia envió información SOPORTADA.
2. La dependencia envió información en el tiempo establecido.
3. Se valoró la información que tuvo a la mano Macroproyecto de cara a las convocatorias en el período de referencia con aplicabilidad directa a la sectorial. 
4. Postuladas: 1; Mapeadas y/o gestiones total: 3.</t>
  </si>
  <si>
    <t>Julio
1. En el período desde el componente de registro de convocatorias y cruzando la información de la CRC No se identificaron convocatorias directas para el sector.
2. Se tuvo en cuenta el reporte de gestiónes, que contemplo las zonas comunitarias para la paz, la socialziación de la oferta del MinTic, la línea de fomento de la misma entidad,  los estudios y diseños para el proceso de ciudades inteligentes y la firma del convenio para el desarrollo de esta.
3. Formula Eficacia ((5/5)*100)=75,00%
4. Formula Eficiencia ((2/3)*100)=66,67%
Agosto
1. En el período desde el componente de registro de convocatorias y cruzando la información de la CRC se identifico la convocatoria de obras por impuestos, en su opción convenio, la cual disponia de una línea tematica en TIC y no se presento iniciativa asociada.
2. Se tuvo en cuenta el reporte de gestiones, la formulación del proyecto que materializa el convenio de ciudades inteligentes, como la radicacion del proyecto de emisoras comunitarias y el de juntas de internet
3. Formula Eficacia ((3/4)*100)=75,00%
4. Formula Eficiencia ((1/4)*100)=25,00%</t>
  </si>
  <si>
    <t>Septiembre - Octubre
1. En el período desde el componente de Otros Mecanismos de Financiación  y cruzando la información de la CRC Se identificaron como convocatorias directas al Sector, una asociada Obras por Impuestos Opción Convenio.
2. Se tuvo en cuenta el reporte de gestiones exitosas, contemplando la experiencia alrededor de "Sucre Tierra Digital"
3. Formula Eficacia ((1/2)*100)=50,00%
4. Formula Eficiencia ((1/1)*100)=100,00%</t>
  </si>
  <si>
    <t>Noviembre - Diciembre
1. En el período desde el componente de Otros Mecanismos de Financiación  y cruzando la información de la CRC Se identificaron como convocatorias directas al Sector, una denominada "Close the Gap", otra con OCAD Paz y también aplica Obras por Impuestos Opción Convenio.
2. Se tuvo en cuenta el reporte de gestiones, sin embargo para el período de referencia no hubo reporte de gestiones exitosas.
3. A la Convocatoria postulada de OCAD Paz, el proyecto no cumplió requisitos mínimos.
4. Formula Eficacia ((1/3)*100)=33,33%
5. Formula Eficiencia ((0/1)*100)=00,00%</t>
  </si>
  <si>
    <t>1. A fecha de corte del presente informe, no se reportan convocatorias y/o gestiones cuya culminación fuera exitosa.
2. Sobre las convocatorias vigentes y/o activas, una vez se generen los resultados deberan reportarse, para lo cual se deberán atender las mesas de acompañamiento a otros mecanismos para registro de Seguimiento.
3. Ganadas: 0; Postuladas: 1
📢 Recordatorio Importante
Toda convocatoria que la dependencia: Mapee, Identifique O sea invitada a participar:
📌 Debe ser notificada a la Oficina de Macroproyectos para su debido registro.
✅ Garantiza trazabilidad y articulación institucional.</t>
  </si>
  <si>
    <t>De acuerdo con el Seguimiento realizado a Plan Indicativo, y el reporte de la dependencia, el avance en la ejecución de las metas del PDD a cargo de la dependencia para la Vigencia 2025, es de 32,31% a corte de 30 de Junio.</t>
  </si>
  <si>
    <t>De acuerdo con el Seguimiento realizado a Plan Indicativo, y el reporte de la Secretaría, el avance acumulado en la ejecución de las metas del PDD a cargo de la dependencia  para la Vigencia 2025, es de 71,27% a corte de 31 de Agosto.</t>
  </si>
  <si>
    <t>De acuerdo con el Seguimiento realizado a Plan Indicativo, y el reporte de la Secretaría, el avance acumulado en la ejecución de las metas del PDD a cargo de la dependencia  para la Vigencia 2025, es de 71,27% a corte de 31 de Octubre.</t>
  </si>
  <si>
    <t>De acuerdo con el Seguimiento realizado a Plan Indicativo, y el reporte de la Secretaría, el avance en la ejecución de las metas del PDD a cargo de la dependencia  para la Vigencia 2025, es de 80.64% a corte de 31 de Diciembre.</t>
  </si>
  <si>
    <t>Se realizo la actualización del portafolio correspondiente al mes de junio de acuerdo con los tiempos</t>
  </si>
  <si>
    <t>Debido a que la Unidad de riesgos realiza primero la contratación y ejecución de los proyectos cuenta con proyectos de los cuales no se tiene registro deben diligenciar la información</t>
  </si>
  <si>
    <t>Se califica con este puntaje en ambos periodos, debido a que no han diligenciado el registro de los proyectos solicitados en Banco de Proyectos.</t>
  </si>
  <si>
    <t>Se califica con el puntaje de 86% para ambos periodos, considerando que la dependencia realizó la actualización del portafolio antes de la fecha requerida para su informe mensual, pero continúa con la tabla comparativa de proyectos desactualizada  hasta el mes de junio de 2025.Se sugiere ponerse al día con prontitud.</t>
  </si>
  <si>
    <t>Se califica con el puntaje de 86% para ambos periodos, considerando que la dependencia realizó la actualización del portafolio antes de la fecha requerida para su informe mensual, se sugiere actualizar la tabla comparativa de proyectos que se encuentra   hasta el mes de junio de 2025.</t>
  </si>
  <si>
    <t>A corte de 30 de Junio determinó que la dependencia No cuenta con proyectos suspendidos y en ejecución</t>
  </si>
  <si>
    <t>Se  realizó la medición desde el periodo 2024 a corte de  30 de noviembre y 31 de  diciembre de 2025  en ambos periodos tenia  0 proyectos suspendidos hasta  la fecha.</t>
  </si>
  <si>
    <t>Se realizó la medición desde el periodo 2024 a corte de 30 de Junio en  la cual se determinó que la dependencia, cuenta con 5 proyectos en proceso de liquidación, 5 proyectos cuentan con acta final y  1 liquidado</t>
  </si>
  <si>
    <t>Se realizó la medición desde el período 2024 a corte del 31 de Agosto de 2025, determinando que la dependencia contaba con 1 proyectos liquidado, 5 en proceso de liquidación y 5 en Acta Final, para ambos períodos.</t>
  </si>
  <si>
    <t>Se realizó la medición desde el período 2024 a corte del 31 de octubre  de 2025, determinando que la dependencia cuenta con  0 proyectos liquidados y 10 en proceso de liquidación, de acuerdo con lo reportado en Portafolio para ambos períodos.</t>
  </si>
  <si>
    <t>Se realizó la medición desde el período 2024 a corte de noviembre y diciembre  de 2025, determinando que la dependencia cuenta con  0 proyectos liquidados y 10 en proceso de liquidación y 1 proyecto con acta final, de acuerdo con lo reportado en Portafolio para ambos períodos.</t>
  </si>
  <si>
    <t>1. La dependencencia remitió informacion respecto a gestión adelantada ante la UNGDR.
2. Se valoró la información que tuvo a la mano Macroproyecto de cara a las convocatorias en el período de referencia con aplicabilidad directa a la sectorial.
3. La dependecia obtuvo 50% en este parámetro sin embargo, obrtuvo 1 penalización por entrega extemporanea.
4. La Dependencia se presentó a 1 de las 2 convocatorias identificadas.</t>
  </si>
  <si>
    <t>Julio 
1. En el período desde el componente de registro de convocatorias y cruzando la información de la CRC sno se identifico convocatorias con cierre en el período de referencia
2. Se tiene reporte de períodos anteriores que no fueron incluidos en la medicion de Junio y se presentan en la medicion actual, como lo fueron la entrega del pozo El Coley y la formación con FAO en un Taller LEGS.
3. En el período se adelantaron diversas gestiones en el departamento de Sucre, incluyendo la limpieza con maquinaria amarilla de caños en Villa Lopez en cabeza de la Secretaría de Infraestructura, para prevenir la materializacion de emergencias por taponamientos.
4. Formula Eficacia ((3/3)*100)=100,00%
5. Formula Eficiencia ((3/3)*100)=100,00%
Agosto
1. El mecanismo de Obras por Impuestos contaba con una línea de inversión para postular proyectos de su dependencia, sin embargo, no se realizó dicha postulación.
2. Formula Eficacia ((1/2)*100)=50,00%
3. Formula Eficiencia ((1/1)*100)=100,00% la gestión adelantada respecto al municipio de Coveñas se registra de manera exitosa.</t>
  </si>
  <si>
    <t>Septiembre - Octubre
1. En el período desde el componente de Otros Mecanismos de Financiación  y cruzando la información de la CRC NO Se identificaron convocatorias directas al sector.
2. Se tuvo en cuenta el reporte de gestiones, contemplandose aquellas como la entrega a CORPOMAJANA del Centro de Pronósticos, la entrega de agua a Sincelejo (Crisis del servicio) y entrega de ayudas humanitarias; así mismo se incluyó el trabajo realizado alrededor del simulacro nacional.
3. Formula Eficacia ((4/4)*100)=100,00%
4. Formula Eficiencia ((4/4)*100)=00,00%</t>
  </si>
  <si>
    <t>Noviembre - Diciembre
1. En el período desde el componente de Otros Mecanismos de Financiación  y cruzando la información de la CRC Se identificaron como convocatorias directas al Sector, incluida la dispuesta por al Dutch Fund for Climate and Development.
2. Se tuvo en cuenta el reporte de gestiones, sin embargo para el período de referencia no hubo reporte de gestiones realizadas.
3. Formula Eficacia ((2/2)*100)=100,00%
4. Formula Eficiencia ((0/2)*100)=00,00%</t>
  </si>
  <si>
    <t>1. A fecha de corte del presente informe,  se reportan (1) convocatorias y/o gestiones cuya culminación fue exitosa.</t>
  </si>
  <si>
    <t>De acuerdo con análisis realizado de las metas desfinanciadas, la dependencia demostró un aumento en la gestión en sus metas desfinanciadas con respecto a lo proyectado desde enero 2025.</t>
  </si>
  <si>
    <t>De acuerdo con el Seguimiento realizado a Plan Indicativo, y el reporte de la Secretaría, el avance en la ejecución de las metas del PDD para la Vigencia 2025, es de 66,67% a corte de 30 de Junio</t>
  </si>
  <si>
    <t>De acuerdo con el Seguimiento realizado a Plan Indicativo, y el reporte de la Secretaría, el avance acumulado en la ejecución de las metas del PDD a cargo de la dependencia  para la Vigencia 2025, es de 83,33% a corte de 31 de Agosto.</t>
  </si>
  <si>
    <t>De acuerdo con el Seguimiento realizado a Plan Indicativo, y el reporte de la Secretaría, el avance acumulado en la ejecución de las metas del PDD a cargo de la dependencia  para la Vigencia 2025, es de 83,33% a corte de 31 de Octubre.</t>
  </si>
  <si>
    <t>Debido a los cambios director en la secretaria de transito y convenio con la SEM no se ha realizado la actualización del Portafolio Maestro de gestión</t>
  </si>
  <si>
    <t>Se realizó reporte de la información después de tiempo.</t>
  </si>
  <si>
    <t>Debido a los cambios en la fuente de finaciación,  se requiere que se actualize la información de acuerdo con los compromisos en las gestiones en el portafolio maestro</t>
  </si>
  <si>
    <t>No se realizó reporte de la información correspondiente al mes de Julio, en agosto sí se realizó reporte de la información.</t>
  </si>
  <si>
    <t>Se califica con el puntaje de 65% para ambos periodos, considerando que la dependencia  continúa con la tabla comparativa de proyectos desactualizada  hasta el mes de junio de 2025 y casillas vacias que aún están pendientes por diligenciar la  información.Se sugiere ponerse al día con prontitud.</t>
  </si>
  <si>
    <t>Se califica con el puntaje de 65% para ambos periodos, considerando que la dependencia  continúa con la tabla comparativa de proyectos desactualizada  hasta el mes de junio de 2025 .Se sugiere ponerse al día con  la actualización.</t>
  </si>
  <si>
    <t>se realizo la medición desde el periodo 2024 a corte de 30 de Junio en  la cual se deermino que la sectertaria No cuenta con proyectos suspendidos 1 en ejecución</t>
  </si>
  <si>
    <t>Se realizo la medición desde el periodo 2024 a corte de 30 de Junio en  la cual se determinó que la dependencia cuenta con 3 proyectos  en proceso de liquidación, y 7 proyectos liquidados</t>
  </si>
  <si>
    <t>Se realizó la medición desde el período 2024 a corte del 31 de Agosto de 2025, determinando que la dependencia contaba con 7 proyectos liquidadoss, y 3 en proceso de liquidación,para mbos períodos.</t>
  </si>
  <si>
    <t>Se realizó la medición desde el período 2024 a corte de septiembre y  octubre  de 2025, determinando que la dependencia cuenta con un total de 10 proyectos Liquidados.</t>
  </si>
  <si>
    <t>Fuera de la medicion, La Oficina de Macroproyectos no tiene reporte de información de la dependencia respecto a la participación en convocatorias propias y/o de otras dependencias.</t>
  </si>
  <si>
    <t>Julio
1. No se obtuvo informacion respecto al mes de Julio.
Agosto 
1. En el período desde el componente de registro de convocatorias y cruzando la información de la CRC no se identificaron convocatorias asociadas al sector.
2. En el período se adelantaron diversas gestiones en el departamento de Sucre, incluyendo la la estratégia de intervención a municipios con mayor accidentalidad, el Comité Departamental de Seguridad Vial, así como las reomendaciones al Plan de Seguridad vial, todas las gestiones adelantadas ante la Angecia nacional de Seguridad Vial
3. Formula Eficacia ((4/4)*100)=100,00%
4. Formula Eficiencia ((4/4)*100)=100,00%</t>
  </si>
  <si>
    <t>Septiembre - Octubre
1. En el período desde el componente de Otros Mecanismos de Financiación  y cruzando la información de la CRC NO Se identificaron convocatorias directas al sector.
2. Se tuvo en cuenta el reporte de gestiones, por ejemplo, la labor realizada con las campañas de seguridad vial en El bongo, Motoxiclistas y Las Tablitas
3. Formula Eficacia ((3/3)*100)= 100,00%
4. Formula Eficiencia ((3/3)*100)=100,00%</t>
  </si>
  <si>
    <t>Noviembre
1. En el período comprendido entre noviembre y diciembre de 2025, desde el componente de registro de convocatorias se realizó el cruce de información con la CRC.
2. Formula Eficacia ((0/0)*100)=0%
3. Formula Eficiencia ((0/0)*100)=0%
Diciembre
1. En el período comprendido entre noviembre y diciembre de 2025, desde el componente de registro de convocatorias se realizó el cruce de información con la CRC.
2. Formula Eficacia ((0/0)*100)=0%
3. Formula Eficiencia ((0/0)*100)=0%
Sin embargo, se asigna valor promedio en Eficacia, de acuerdo al desempeño de períodos anteriores.</t>
  </si>
  <si>
    <t>Fuera de la medicion, La Oficina de Macroproyectos no tiene reporte de gestiónes exitosas con entidades del estado y/u en convocatorias.</t>
  </si>
  <si>
    <t>De acuerdo con el análisis realizado de las metas desfinanciadas, la Secretaría no mostró un aumento en la gestión de sus metas desfinanciadas con respecto a lo proyectado desde enero 2025.</t>
  </si>
  <si>
    <t>De acuerdo con el Seguimiento realizado a Plan Indicativo, y el reporte de la Secretaría, el avance en la ejecución de las metas del PDD asignadas a la dependencia para la Vigencia 2025, es de 00,00% a corte de 30 de Junio.</t>
  </si>
  <si>
    <t>De acuerdo con el Seguimiento realizado a Plan Indicativo, y el reporte de la Secretaría, el avance acumulado en la ejecución de las metas del PDD a cargo de la dependencia  para la Vigencia 2025, es de 29,88% a corte de 31 de Agosto.</t>
  </si>
  <si>
    <t>De acuerdo con el Seguimiento realizado a Plan Indicativo, y el reporte de la Secretaría, el avance acumulado en la ejecución de las metas del PDD a cargo de la dependencia  para la Vigencia 2025, es de 40,00% a corte de 31 de Octubre.</t>
  </si>
  <si>
    <t>De acuerdo con el Seguimiento realizado a Plan Indicativo, y el reporte de la Secretaría, el avance en la ejecución de las metas del PDD a cargo de la dependencia  para la Vigencia 2025, es de 60.00% a corte de 31 de Diciembre.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</si>
</sst>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
    <numFmt numFmtId="165" formatCode="0.000000%"/>
  </numFmts>
  <fonts count="46" x14ac:knownFonts="1">
    <font>
      <sz val="11"/>
      <color theme="1"/>
      <name val="Aptos Narrow"/>
      <family val="2"/>
      <scheme val="minor"/>
    </font>
    <font>
      <sz val="11"/>
      <color theme="1"/>
      <name val="Aptos Narrow"/>
      <family val="2"/>
      <scheme val="minor"/>
    </font>
    <font>
      <sz val="11"/>
      <color rgb="FFFF0000"/>
      <name val="Aptos Narrow"/>
      <family val="2"/>
      <scheme val="minor"/>
    </font>
    <font>
      <b/>
      <sz val="11"/>
      <color theme="1"/>
      <name val="Aptos Narrow"/>
      <family val="2"/>
      <scheme val="minor"/>
    </font>
    <font>
      <sz val="16"/>
      <color theme="1"/>
      <name val="Aptos Narrow"/>
      <family val="2"/>
      <scheme val="minor"/>
    </font>
    <font>
      <b/>
      <sz val="16"/>
      <color theme="0"/>
      <name val="Aptos Narrow"/>
      <family val="2"/>
      <scheme val="minor"/>
    </font>
    <font>
      <b/>
      <sz val="16"/>
      <color theme="1"/>
      <name val="Aptos Narrow"/>
      <family val="2"/>
      <scheme val="minor"/>
    </font>
    <font>
      <sz val="12"/>
      <color theme="1"/>
      <name val="Aptos Narrow"/>
      <family val="2"/>
      <scheme val="minor"/>
    </font>
    <font>
      <b/>
      <sz val="12"/>
      <color theme="1"/>
      <name val="Aptos Narrow"/>
      <family val="2"/>
      <scheme val="minor"/>
    </font>
    <font>
      <b/>
      <sz val="14"/>
      <color theme="1"/>
      <name val="Aptos Narrow"/>
      <family val="2"/>
      <scheme val="minor"/>
    </font>
    <font>
      <b/>
      <sz val="16"/>
      <color theme="7"/>
      <name val="Aptos Narrow"/>
      <family val="2"/>
      <scheme val="minor"/>
    </font>
    <font>
      <b/>
      <sz val="18"/>
      <color theme="1"/>
      <name val="Aptos Narrow"/>
      <family val="2"/>
      <scheme val="minor"/>
    </font>
    <font>
      <sz val="11"/>
      <color rgb="FF000000"/>
      <name val="Aptos Narrow"/>
      <family val="2"/>
      <scheme val="minor"/>
    </font>
    <font>
      <sz val="11"/>
      <name val="Aptos Narrow"/>
      <family val="2"/>
      <scheme val="minor"/>
    </font>
    <font>
      <b/>
      <sz val="11"/>
      <color rgb="FF000000"/>
      <name val="Aptos Narrow"/>
      <family val="2"/>
      <scheme val="minor"/>
    </font>
    <font>
      <b/>
      <sz val="12"/>
      <color rgb="FF000000"/>
      <name val="Aptos Narrow"/>
      <family val="2"/>
      <scheme val="minor"/>
    </font>
    <font>
      <b/>
      <sz val="16"/>
      <color rgb="FF000000"/>
      <name val="Aptos Narrow"/>
      <family val="2"/>
      <scheme val="minor"/>
    </font>
    <font>
      <b/>
      <sz val="18"/>
      <color theme="7"/>
      <name val="Aptos Narrow"/>
      <family val="2"/>
      <scheme val="minor"/>
    </font>
    <font>
      <b/>
      <sz val="20"/>
      <color theme="0"/>
      <name val="Aptos Narrow"/>
      <family val="2"/>
      <scheme val="minor"/>
    </font>
    <font>
      <sz val="20"/>
      <color theme="1"/>
      <name val="Aptos Narrow"/>
      <family val="2"/>
      <scheme val="minor"/>
    </font>
    <font>
      <b/>
      <sz val="12"/>
      <color theme="7"/>
      <name val="Aptos Narrow"/>
      <family val="2"/>
      <scheme val="minor"/>
    </font>
    <font>
      <sz val="12"/>
      <color rgb="FF000000"/>
      <name val="Aptos Narrow"/>
      <family val="2"/>
      <scheme val="minor"/>
    </font>
    <font>
      <sz val="18"/>
      <color theme="1"/>
      <name val="Aptos Narrow"/>
      <family val="2"/>
      <scheme val="minor"/>
    </font>
    <font>
      <sz val="14"/>
      <color theme="1"/>
      <name val="Aptos Narrow"/>
      <family val="2"/>
      <scheme val="minor"/>
    </font>
    <font>
      <b/>
      <sz val="14"/>
      <color theme="7"/>
      <name val="Aptos Narrow"/>
      <family val="2"/>
      <scheme val="minor"/>
    </font>
    <font>
      <sz val="14"/>
      <color rgb="FF000000"/>
      <name val="Aptos Narrow"/>
      <family val="2"/>
      <scheme val="minor"/>
    </font>
    <font>
      <b/>
      <sz val="11"/>
      <color rgb="FF000000"/>
      <name val="Aptos Narrow"/>
      <family val="2"/>
    </font>
    <font>
      <sz val="11"/>
      <color rgb="FF000000"/>
      <name val="Aptos Narrow"/>
      <family val="2"/>
    </font>
    <font>
      <b/>
      <sz val="12"/>
      <color theme="0"/>
      <name val="Aptos Narrow"/>
      <family val="2"/>
      <scheme val="minor"/>
    </font>
    <font>
      <sz val="10"/>
      <color rgb="FF000000"/>
      <name val="Aptos Narrow"/>
      <family val="2"/>
      <scheme val="minor"/>
    </font>
    <font>
      <sz val="12"/>
      <color theme="1"/>
      <name val="Aptos Narrow"/>
      <family val="2"/>
      <scheme val="minor"/>
    </font>
    <font>
      <sz val="12"/>
      <color rgb="FF000000"/>
      <name val="Aptos Narrow"/>
      <family val="2"/>
    </font>
    <font>
      <b/>
      <sz val="12"/>
      <color rgb="FF000000"/>
      <name val="Aptos Narrow"/>
      <family val="2"/>
    </font>
    <font>
      <b/>
      <sz val="11"/>
      <color theme="0"/>
      <name val="Aptos Narrow"/>
      <family val="2"/>
      <scheme val="minor"/>
    </font>
    <font>
      <b/>
      <sz val="16"/>
      <color theme="3" tint="0.499984740745262"/>
      <name val="Aptos Narrow"/>
      <family val="2"/>
      <scheme val="minor"/>
    </font>
    <font>
      <b/>
      <sz val="16"/>
      <color theme="4" tint="0.39997558519241921"/>
      <name val="Aptos Narrow"/>
      <family val="2"/>
      <scheme val="minor"/>
    </font>
    <font>
      <sz val="11"/>
      <color rgb="FF000000"/>
      <name val="Aptos Narrow"/>
      <family val="2"/>
    </font>
    <font>
      <sz val="11"/>
      <color rgb="FF000000"/>
      <name val="Aptos Narrow"/>
      <family val="2"/>
      <scheme val="minor"/>
    </font>
    <font>
      <sz val="12"/>
      <color rgb="FF000000"/>
      <name val="Aptos Narrow"/>
      <family val="2"/>
      <scheme val="minor"/>
    </font>
    <font>
      <b/>
      <sz val="11"/>
      <color rgb="FF000000"/>
      <name val="Aptos Narrow"/>
      <family val="2"/>
    </font>
    <font>
      <b/>
      <sz val="12"/>
      <color rgb="FF000000"/>
      <name val="Aptos Narrow"/>
      <family val="2"/>
    </font>
    <font>
      <b/>
      <sz val="16"/>
      <color rgb="FF0E9FD5"/>
      <name val="Aptos Narrow"/>
      <family val="2"/>
      <charset val="1"/>
    </font>
    <font>
      <b/>
      <sz val="16"/>
      <color rgb="FF0F9ED5"/>
      <name val="Aptos Narrow"/>
      <family val="2"/>
      <charset val="1"/>
    </font>
    <font>
      <b/>
      <sz val="11"/>
      <color rgb="FF000000"/>
      <name val="Aptos Narrow"/>
      <family val="2"/>
      <charset val="1"/>
    </font>
    <font>
      <sz val="14"/>
      <color rgb="FF000000"/>
      <name val="Aptos Narrow"/>
      <family val="2"/>
    </font>
    <font>
      <sz val="11"/>
      <color indexed="8"/>
      <name val="Calibri"/>
      <family val="2"/>
    </font>
  </fonts>
  <fills count="11">
    <fill>
      <patternFill patternType="none"/>
    </fill>
    <fill>
      <patternFill patternType="gray125"/>
    </fill>
    <fill>
      <patternFill patternType="solid">
        <fgColor theme="7" tint="-0.499984740745262"/>
        <bgColor indexed="64"/>
      </patternFill>
    </fill>
    <fill>
      <patternFill patternType="solid">
        <fgColor theme="3" tint="0.89999084444715716"/>
        <bgColor indexed="64"/>
      </patternFill>
    </fill>
    <fill>
      <patternFill patternType="solid">
        <fgColor theme="9" tint="0.59999389629810485"/>
        <bgColor indexed="64"/>
      </patternFill>
    </fill>
    <fill>
      <patternFill patternType="solid">
        <fgColor theme="9" tint="0.79998168889431442"/>
        <bgColor indexed="64"/>
      </patternFill>
    </fill>
    <fill>
      <patternFill patternType="solid">
        <fgColor theme="0" tint="-0.14999847407452621"/>
        <bgColor indexed="64"/>
      </patternFill>
    </fill>
    <fill>
      <patternFill patternType="solid">
        <fgColor theme="4"/>
        <bgColor indexed="64"/>
      </patternFill>
    </fill>
    <fill>
      <patternFill patternType="solid">
        <fgColor rgb="FFDAE9F8"/>
        <bgColor indexed="64"/>
      </patternFill>
    </fill>
    <fill>
      <patternFill patternType="solid">
        <fgColor rgb="FFDAE9F8"/>
        <bgColor rgb="FF000000"/>
      </patternFill>
    </fill>
    <fill>
      <patternFill patternType="solid">
        <fgColor rgb="FFDBE9F9"/>
        <bgColor indexed="64"/>
      </patternFill>
    </fill>
  </fills>
  <borders count="61">
    <border>
      <left/>
      <right/>
      <top/>
      <bottom/>
      <diagonal/>
    </border>
    <border>
      <left/>
      <right/>
      <top style="double">
        <color indexed="64"/>
      </top>
      <bottom style="double">
        <color indexed="64"/>
      </bottom>
      <diagonal/>
    </border>
    <border>
      <left/>
      <right/>
      <top/>
      <bottom style="double">
        <color indexed="64"/>
      </bottom>
      <diagonal/>
    </border>
    <border>
      <left/>
      <right/>
      <top style="double">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top style="thin">
        <color indexed="64"/>
      </top>
      <bottom/>
      <diagonal/>
    </border>
    <border>
      <left/>
      <right/>
      <top style="thin">
        <color indexed="64"/>
      </top>
      <bottom style="medium">
        <color indexed="64"/>
      </bottom>
      <diagonal/>
    </border>
    <border>
      <left style="thin">
        <color indexed="64"/>
      </left>
      <right style="thin">
        <color indexed="64"/>
      </right>
      <top style="double">
        <color indexed="64"/>
      </top>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indexed="64"/>
      </left>
      <right style="thin">
        <color indexed="64"/>
      </right>
      <top/>
      <bottom style="thin">
        <color rgb="FF000000"/>
      </bottom>
      <diagonal/>
    </border>
    <border>
      <left style="thin">
        <color indexed="64"/>
      </left>
      <right/>
      <top/>
      <bottom/>
      <diagonal/>
    </border>
    <border>
      <left/>
      <right style="thin">
        <color indexed="64"/>
      </right>
      <top/>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rgb="FF000000"/>
      </top>
      <bottom style="thin">
        <color rgb="FF000000"/>
      </bottom>
      <diagonal/>
    </border>
    <border>
      <left style="medium">
        <color indexed="64"/>
      </left>
      <right style="medium">
        <color indexed="64"/>
      </right>
      <top style="thin">
        <color rgb="FF000000"/>
      </top>
      <bottom/>
      <diagonal/>
    </border>
    <border>
      <left style="medium">
        <color indexed="64"/>
      </left>
      <right style="medium">
        <color indexed="64"/>
      </right>
      <top/>
      <bottom/>
      <diagonal/>
    </border>
    <border>
      <left style="medium">
        <color indexed="64"/>
      </left>
      <right style="medium">
        <color indexed="64"/>
      </right>
      <top/>
      <bottom style="thin">
        <color rgb="FF000000"/>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style="thin">
        <color indexed="64"/>
      </top>
      <bottom style="medium">
        <color indexed="64"/>
      </bottom>
      <diagonal/>
    </border>
    <border>
      <left style="thin">
        <color indexed="64"/>
      </left>
      <right/>
      <top style="double">
        <color indexed="64"/>
      </top>
      <bottom/>
      <diagonal/>
    </border>
    <border>
      <left style="thin">
        <color rgb="FF000000"/>
      </left>
      <right/>
      <top/>
      <bottom style="thin">
        <color rgb="FF000000"/>
      </bottom>
      <diagonal/>
    </border>
    <border>
      <left/>
      <right style="thin">
        <color rgb="FF000000"/>
      </right>
      <top/>
      <bottom/>
      <diagonal/>
    </border>
    <border>
      <left style="thin">
        <color rgb="FF000000"/>
      </left>
      <right style="thin">
        <color indexed="64"/>
      </right>
      <top/>
      <bottom style="thin">
        <color rgb="FF000000"/>
      </bottom>
      <diagonal/>
    </border>
    <border>
      <left/>
      <right/>
      <top style="thin">
        <color rgb="FF000000"/>
      </top>
      <bottom style="thin">
        <color indexed="64"/>
      </bottom>
      <diagonal/>
    </border>
    <border>
      <left/>
      <right style="thin">
        <color indexed="64"/>
      </right>
      <top style="thin">
        <color rgb="FF000000"/>
      </top>
      <bottom style="thin">
        <color indexed="64"/>
      </bottom>
      <diagonal/>
    </border>
    <border>
      <left/>
      <right style="thin">
        <color rgb="FF000000"/>
      </right>
      <top style="thin">
        <color indexed="64"/>
      </top>
      <bottom style="thin">
        <color indexed="64"/>
      </bottom>
      <diagonal/>
    </border>
    <border>
      <left style="thin">
        <color rgb="FF0F9ED5"/>
      </left>
      <right/>
      <top style="thin">
        <color rgb="FF0F9ED5"/>
      </top>
      <bottom style="thin">
        <color rgb="FF0F9ED5"/>
      </bottom>
      <diagonal/>
    </border>
    <border>
      <left/>
      <right/>
      <top style="thin">
        <color rgb="FF0F9ED5"/>
      </top>
      <bottom style="thin">
        <color rgb="FF0F9ED5"/>
      </bottom>
      <diagonal/>
    </border>
    <border>
      <left style="thin">
        <color indexed="64"/>
      </left>
      <right/>
      <top style="thin">
        <color rgb="FF000000"/>
      </top>
      <bottom style="thin">
        <color indexed="64"/>
      </bottom>
      <diagonal/>
    </border>
    <border>
      <left/>
      <right style="thin">
        <color rgb="FF000000"/>
      </right>
      <top style="thin">
        <color rgb="FF000000"/>
      </top>
      <bottom style="thin">
        <color indexed="64"/>
      </bottom>
      <diagonal/>
    </border>
    <border>
      <left/>
      <right style="thin">
        <color rgb="FF000000"/>
      </right>
      <top style="thin">
        <color indexed="64"/>
      </top>
      <bottom/>
      <diagonal/>
    </border>
    <border>
      <left/>
      <right style="thin">
        <color rgb="FF000000"/>
      </right>
      <top/>
      <bottom style="thin">
        <color rgb="FF000000"/>
      </bottom>
      <diagonal/>
    </border>
    <border>
      <left style="medium">
        <color indexed="64"/>
      </left>
      <right style="medium">
        <color indexed="64"/>
      </right>
      <top style="thin">
        <color indexed="64"/>
      </top>
      <bottom style="thin">
        <color rgb="FF000000"/>
      </bottom>
      <diagonal/>
    </border>
    <border>
      <left style="thin">
        <color indexed="64"/>
      </left>
      <right style="thin">
        <color rgb="FF000000"/>
      </right>
      <top style="thin">
        <color indexed="64"/>
      </top>
      <bottom style="thin">
        <color indexed="64"/>
      </bottom>
      <diagonal/>
    </border>
    <border>
      <left style="thin">
        <color indexed="64"/>
      </left>
      <right style="thin">
        <color indexed="64"/>
      </right>
      <top style="double">
        <color indexed="64"/>
      </top>
      <bottom style="thin">
        <color indexed="64"/>
      </bottom>
      <diagonal/>
    </border>
    <border>
      <left style="thin">
        <color indexed="64"/>
      </left>
      <right style="thin">
        <color indexed="64"/>
      </right>
      <top style="thin">
        <color indexed="64"/>
      </top>
      <bottom style="thin">
        <color rgb="FF000000"/>
      </bottom>
      <diagonal/>
    </border>
    <border>
      <left style="thin">
        <color indexed="64"/>
      </left>
      <right/>
      <top style="double">
        <color indexed="64"/>
      </top>
      <bottom style="thin">
        <color indexed="64"/>
      </bottom>
      <diagonal/>
    </border>
    <border>
      <left style="medium">
        <color indexed="64"/>
      </left>
      <right style="medium">
        <color indexed="64"/>
      </right>
      <top style="thin">
        <color rgb="FF000000"/>
      </top>
      <bottom style="thin">
        <color indexed="64"/>
      </bottom>
      <diagonal/>
    </border>
    <border>
      <left style="thin">
        <color rgb="FF000000"/>
      </left>
      <right style="thin">
        <color rgb="FF000000"/>
      </right>
      <top/>
      <bottom/>
      <diagonal/>
    </border>
    <border>
      <left style="thin">
        <color indexed="64"/>
      </left>
      <right style="thin">
        <color indexed="64"/>
      </right>
      <top style="thin">
        <color rgb="FF000000"/>
      </top>
      <bottom style="thin">
        <color indexed="64"/>
      </bottom>
      <diagonal/>
    </border>
    <border>
      <left style="thin">
        <color rgb="FF000000"/>
      </left>
      <right style="thin">
        <color indexed="64"/>
      </right>
      <top style="thin">
        <color indexed="64"/>
      </top>
      <bottom style="thin">
        <color rgb="FF000000"/>
      </bottom>
      <diagonal/>
    </border>
    <border>
      <left/>
      <right/>
      <top/>
      <bottom style="thin">
        <color rgb="FF000000"/>
      </bottom>
      <diagonal/>
    </border>
    <border>
      <left style="thin">
        <color indexed="64"/>
      </left>
      <right style="thin">
        <color rgb="FF000000"/>
      </right>
      <top style="thin">
        <color rgb="FF000000"/>
      </top>
      <bottom style="thin">
        <color indexed="64"/>
      </bottom>
      <diagonal/>
    </border>
  </borders>
  <cellStyleXfs count="2">
    <xf numFmtId="0" fontId="0" fillId="0" borderId="0"/>
    <xf numFmtId="9" fontId="1" fillId="0" borderId="0"/>
  </cellStyleXfs>
  <cellXfs count="547">
    <xf numFmtId="0" fontId="0" fillId="0" borderId="0" xfId="0"/>
    <xf numFmtId="0" fontId="4" fillId="0" borderId="0" xfId="0" applyFont="1" applyAlignment="1">
      <alignment horizontal="center" wrapText="1"/>
    </xf>
    <xf numFmtId="0" fontId="0" fillId="0" borderId="0" xfId="0" applyAlignment="1">
      <alignment horizontal="center" vertical="center" wrapText="1"/>
    </xf>
    <xf numFmtId="0" fontId="0" fillId="0" borderId="0" xfId="0" applyAlignment="1">
      <alignment horizontal="center" wrapText="1"/>
    </xf>
    <xf numFmtId="0" fontId="0" fillId="0" borderId="0" xfId="0" applyAlignment="1">
      <alignment horizontal="center" vertical="center"/>
    </xf>
    <xf numFmtId="0" fontId="0" fillId="0" borderId="0" xfId="0" applyAlignment="1">
      <alignment wrapText="1"/>
    </xf>
    <xf numFmtId="10" fontId="5" fillId="2" borderId="0" xfId="1" applyNumberFormat="1" applyFont="1" applyFill="1" applyAlignment="1">
      <alignment horizontal="center" vertical="center" wrapText="1"/>
    </xf>
    <xf numFmtId="0" fontId="5" fillId="2" borderId="0" xfId="0" applyFont="1" applyFill="1" applyAlignment="1">
      <alignment horizontal="center" vertical="center" wrapText="1"/>
    </xf>
    <xf numFmtId="9" fontId="0" fillId="0" borderId="1" xfId="0" applyNumberFormat="1" applyBorder="1" applyAlignment="1">
      <alignment horizontal="center" vertical="center"/>
    </xf>
    <xf numFmtId="0" fontId="7" fillId="0" borderId="1" xfId="0" applyFont="1" applyBorder="1" applyAlignment="1">
      <alignment horizontal="center" vertical="center" wrapText="1"/>
    </xf>
    <xf numFmtId="0" fontId="8" fillId="0" borderId="1" xfId="0" applyFont="1" applyBorder="1" applyAlignment="1">
      <alignment horizontal="center" vertical="center" wrapText="1"/>
    </xf>
    <xf numFmtId="9" fontId="0" fillId="0" borderId="2" xfId="0" applyNumberFormat="1" applyBorder="1" applyAlignment="1">
      <alignment horizontal="center" vertical="center"/>
    </xf>
    <xf numFmtId="0" fontId="8" fillId="0" borderId="2" xfId="0" applyFont="1" applyBorder="1" applyAlignment="1">
      <alignment horizontal="center" vertical="center" wrapText="1"/>
    </xf>
    <xf numFmtId="9" fontId="0" fillId="0" borderId="3" xfId="0" applyNumberFormat="1" applyBorder="1" applyAlignment="1">
      <alignment horizontal="center" vertical="center"/>
    </xf>
    <xf numFmtId="0" fontId="8" fillId="0" borderId="3" xfId="0" applyFont="1" applyBorder="1" applyAlignment="1">
      <alignment horizontal="center" vertical="center" wrapText="1"/>
    </xf>
    <xf numFmtId="164" fontId="0" fillId="0" borderId="2" xfId="0" applyNumberFormat="1" applyBorder="1" applyAlignment="1">
      <alignment horizontal="center" vertical="center"/>
    </xf>
    <xf numFmtId="164" fontId="0" fillId="0" borderId="3" xfId="0" applyNumberFormat="1" applyBorder="1" applyAlignment="1">
      <alignment horizontal="center" vertical="center"/>
    </xf>
    <xf numFmtId="10" fontId="0" fillId="0" borderId="0" xfId="0" applyNumberFormat="1" applyAlignment="1">
      <alignment horizontal="center" vertical="center"/>
    </xf>
    <xf numFmtId="0" fontId="8" fillId="0" borderId="0" xfId="0" applyFont="1" applyAlignment="1">
      <alignment horizontal="center" vertical="center" wrapText="1"/>
    </xf>
    <xf numFmtId="0" fontId="0" fillId="0" borderId="1" xfId="0" applyBorder="1" applyAlignment="1">
      <alignment horizontal="center" vertical="center"/>
    </xf>
    <xf numFmtId="10" fontId="0" fillId="0" borderId="1" xfId="0" applyNumberFormat="1" applyBorder="1" applyAlignment="1">
      <alignment horizontal="center" vertical="center"/>
    </xf>
    <xf numFmtId="0" fontId="0" fillId="0" borderId="2" xfId="0" applyBorder="1" applyAlignment="1">
      <alignment horizontal="center" vertical="center"/>
    </xf>
    <xf numFmtId="10" fontId="0" fillId="0" borderId="2" xfId="0" applyNumberFormat="1" applyBorder="1" applyAlignment="1">
      <alignment horizontal="center" vertical="center"/>
    </xf>
    <xf numFmtId="9" fontId="1" fillId="0" borderId="2" xfId="1" applyBorder="1" applyAlignment="1">
      <alignment horizontal="center" vertical="center" wrapText="1"/>
    </xf>
    <xf numFmtId="10" fontId="1" fillId="0" borderId="2" xfId="1" applyNumberFormat="1" applyBorder="1" applyAlignment="1">
      <alignment horizontal="center" vertical="center" wrapText="1"/>
    </xf>
    <xf numFmtId="9" fontId="1" fillId="0" borderId="2" xfId="1" applyBorder="1" applyAlignment="1">
      <alignment horizontal="center" wrapText="1"/>
    </xf>
    <xf numFmtId="9" fontId="1" fillId="0" borderId="0" xfId="1" applyAlignment="1">
      <alignment horizontal="center" wrapText="1"/>
    </xf>
    <xf numFmtId="9" fontId="1" fillId="0" borderId="3" xfId="1" applyBorder="1" applyAlignment="1">
      <alignment horizontal="center" wrapText="1"/>
    </xf>
    <xf numFmtId="0" fontId="0" fillId="0" borderId="0" xfId="0" applyAlignment="1">
      <alignment vertical="center" wrapText="1"/>
    </xf>
    <xf numFmtId="10" fontId="3" fillId="5" borderId="2" xfId="0" applyNumberFormat="1" applyFont="1" applyFill="1" applyBorder="1" applyAlignment="1">
      <alignment horizontal="center" vertical="center" wrapText="1"/>
    </xf>
    <xf numFmtId="10" fontId="3" fillId="5" borderId="1" xfId="0" applyNumberFormat="1" applyFont="1" applyFill="1" applyBorder="1" applyAlignment="1">
      <alignment horizontal="center" vertical="center"/>
    </xf>
    <xf numFmtId="10" fontId="3" fillId="5" borderId="0" xfId="0" applyNumberFormat="1" applyFont="1" applyFill="1" applyAlignment="1">
      <alignment horizontal="center" vertical="center"/>
    </xf>
    <xf numFmtId="0" fontId="0" fillId="4" borderId="1" xfId="0" applyFill="1" applyBorder="1" applyAlignment="1">
      <alignment horizontal="center" vertical="center" wrapText="1"/>
    </xf>
    <xf numFmtId="10" fontId="0" fillId="4" borderId="1" xfId="1" applyNumberFormat="1" applyFont="1" applyFill="1" applyBorder="1" applyAlignment="1">
      <alignment horizontal="center" vertical="center" wrapText="1"/>
    </xf>
    <xf numFmtId="0" fontId="0" fillId="4" borderId="2" xfId="0" applyFill="1" applyBorder="1" applyAlignment="1">
      <alignment horizontal="center" vertical="center" wrapText="1"/>
    </xf>
    <xf numFmtId="0" fontId="0" fillId="4" borderId="0" xfId="0" applyFill="1" applyAlignment="1">
      <alignment horizontal="center" vertical="center" wrapText="1"/>
    </xf>
    <xf numFmtId="0" fontId="0" fillId="4" borderId="3" xfId="0" applyFill="1" applyBorder="1" applyAlignment="1">
      <alignment horizontal="center" vertical="center" wrapText="1"/>
    </xf>
    <xf numFmtId="0" fontId="8" fillId="5" borderId="1" xfId="0" applyFont="1" applyFill="1" applyBorder="1" applyAlignment="1">
      <alignment horizontal="center" vertical="center" wrapText="1"/>
    </xf>
    <xf numFmtId="0" fontId="3" fillId="4" borderId="3" xfId="0" applyFont="1" applyFill="1" applyBorder="1" applyAlignment="1">
      <alignment horizontal="center" vertical="center" wrapText="1"/>
    </xf>
    <xf numFmtId="0" fontId="3" fillId="4" borderId="2" xfId="0" applyFont="1" applyFill="1" applyBorder="1" applyAlignment="1">
      <alignment horizontal="center" vertical="center" wrapText="1"/>
    </xf>
    <xf numFmtId="0" fontId="0" fillId="4" borderId="1" xfId="0" applyFill="1" applyBorder="1" applyAlignment="1">
      <alignment horizontal="left" vertical="center" wrapText="1"/>
    </xf>
    <xf numFmtId="0" fontId="2" fillId="0" borderId="0" xfId="0" applyFont="1"/>
    <xf numFmtId="164" fontId="0" fillId="0" borderId="1" xfId="0" applyNumberFormat="1" applyBorder="1" applyAlignment="1">
      <alignment horizontal="center" vertical="center"/>
    </xf>
    <xf numFmtId="10" fontId="10" fillId="3" borderId="4" xfId="0" applyNumberFormat="1" applyFont="1" applyFill="1" applyBorder="1" applyAlignment="1">
      <alignment horizontal="center" vertical="center" wrapText="1"/>
    </xf>
    <xf numFmtId="9" fontId="6" fillId="4" borderId="4" xfId="1" applyFont="1" applyFill="1" applyBorder="1" applyAlignment="1">
      <alignment horizontal="center" vertical="center" wrapText="1"/>
    </xf>
    <xf numFmtId="0" fontId="1" fillId="3" borderId="4" xfId="1" applyNumberFormat="1" applyFill="1" applyBorder="1" applyAlignment="1">
      <alignment horizontal="center" vertical="center" wrapText="1"/>
    </xf>
    <xf numFmtId="0" fontId="12" fillId="3" borderId="4" xfId="1" applyNumberFormat="1" applyFont="1" applyFill="1" applyBorder="1" applyAlignment="1">
      <alignment horizontal="center" vertical="center" wrapText="1"/>
    </xf>
    <xf numFmtId="0" fontId="0" fillId="3" borderId="4" xfId="1" applyNumberFormat="1" applyFont="1" applyFill="1" applyBorder="1" applyAlignment="1">
      <alignment horizontal="center" vertical="center" wrapText="1"/>
    </xf>
    <xf numFmtId="10" fontId="6" fillId="4" borderId="4" xfId="1" applyNumberFormat="1" applyFont="1" applyFill="1" applyBorder="1" applyAlignment="1">
      <alignment horizontal="center" vertical="center" wrapText="1"/>
    </xf>
    <xf numFmtId="10" fontId="14" fillId="5" borderId="1" xfId="0" applyNumberFormat="1" applyFont="1" applyFill="1" applyBorder="1" applyAlignment="1">
      <alignment horizontal="center" vertical="center"/>
    </xf>
    <xf numFmtId="10" fontId="12" fillId="0" borderId="1" xfId="0" applyNumberFormat="1" applyFont="1" applyBorder="1" applyAlignment="1">
      <alignment horizontal="center" vertical="center"/>
    </xf>
    <xf numFmtId="0" fontId="15" fillId="0" borderId="1" xfId="0" applyFont="1" applyBorder="1" applyAlignment="1">
      <alignment horizontal="center" vertical="center" wrapText="1"/>
    </xf>
    <xf numFmtId="10" fontId="12" fillId="4" borderId="1" xfId="1" applyNumberFormat="1" applyFont="1" applyFill="1" applyBorder="1" applyAlignment="1">
      <alignment horizontal="center" vertical="center" wrapText="1"/>
    </xf>
    <xf numFmtId="0" fontId="12" fillId="0" borderId="1" xfId="0" applyFont="1" applyBorder="1" applyAlignment="1">
      <alignment horizontal="center" vertical="center"/>
    </xf>
    <xf numFmtId="10" fontId="16" fillId="4" borderId="4" xfId="1" applyNumberFormat="1" applyFont="1" applyFill="1" applyBorder="1" applyAlignment="1">
      <alignment horizontal="center" vertical="center" wrapText="1"/>
    </xf>
    <xf numFmtId="10" fontId="0" fillId="4" borderId="1" xfId="1" applyNumberFormat="1" applyFont="1" applyFill="1" applyBorder="1" applyAlignment="1">
      <alignment horizontal="left" vertical="center" wrapText="1"/>
    </xf>
    <xf numFmtId="0" fontId="0" fillId="4" borderId="2" xfId="0" applyFill="1" applyBorder="1" applyAlignment="1">
      <alignment horizontal="left" vertical="center" wrapText="1"/>
    </xf>
    <xf numFmtId="0" fontId="0" fillId="4" borderId="0" xfId="0" applyFill="1" applyAlignment="1">
      <alignment horizontal="left" vertical="center" wrapText="1"/>
    </xf>
    <xf numFmtId="0" fontId="3" fillId="4" borderId="1" xfId="0" applyFont="1" applyFill="1" applyBorder="1" applyAlignment="1">
      <alignment horizontal="left" vertical="center" wrapText="1"/>
    </xf>
    <xf numFmtId="0" fontId="3" fillId="4" borderId="2" xfId="0" applyFont="1" applyFill="1" applyBorder="1" applyAlignment="1">
      <alignment horizontal="left" vertical="center" wrapText="1"/>
    </xf>
    <xf numFmtId="0" fontId="0" fillId="0" borderId="0" xfId="0" applyAlignment="1">
      <alignment horizontal="left"/>
    </xf>
    <xf numFmtId="0" fontId="12" fillId="3" borderId="4" xfId="1" applyNumberFormat="1" applyFont="1" applyFill="1" applyBorder="1" applyAlignment="1">
      <alignment horizontal="left" vertical="center" wrapText="1"/>
    </xf>
    <xf numFmtId="0" fontId="12" fillId="3" borderId="4" xfId="1" applyNumberFormat="1" applyFont="1" applyFill="1" applyBorder="1" applyAlignment="1">
      <alignment horizontal="left" vertical="top" wrapText="1"/>
    </xf>
    <xf numFmtId="0" fontId="19" fillId="0" borderId="0" xfId="0" applyFont="1" applyAlignment="1">
      <alignment vertical="center" wrapText="1"/>
    </xf>
    <xf numFmtId="0" fontId="18" fillId="2" borderId="0" xfId="0" applyFont="1" applyFill="1" applyAlignment="1">
      <alignment horizontal="center" vertical="center" wrapText="1"/>
    </xf>
    <xf numFmtId="10" fontId="18" fillId="2" borderId="0" xfId="1" applyNumberFormat="1" applyFont="1" applyFill="1" applyAlignment="1">
      <alignment horizontal="center" vertical="center" wrapText="1"/>
    </xf>
    <xf numFmtId="0" fontId="7" fillId="0" borderId="0" xfId="0" applyFont="1"/>
    <xf numFmtId="0" fontId="7" fillId="4" borderId="1" xfId="0" applyFont="1" applyFill="1" applyBorder="1" applyAlignment="1">
      <alignment horizontal="left" vertical="center" wrapText="1"/>
    </xf>
    <xf numFmtId="9" fontId="7" fillId="0" borderId="3" xfId="1" applyFont="1" applyBorder="1" applyAlignment="1">
      <alignment horizontal="center" wrapText="1"/>
    </xf>
    <xf numFmtId="10" fontId="20" fillId="3" borderId="4" xfId="0" applyNumberFormat="1" applyFont="1" applyFill="1" applyBorder="1" applyAlignment="1">
      <alignment horizontal="center" vertical="center" wrapText="1"/>
    </xf>
    <xf numFmtId="10" fontId="8" fillId="4" borderId="4" xfId="1" applyNumberFormat="1" applyFont="1" applyFill="1" applyBorder="1" applyAlignment="1">
      <alignment horizontal="center" vertical="center" wrapText="1"/>
    </xf>
    <xf numFmtId="0" fontId="21" fillId="3" borderId="4" xfId="1" applyNumberFormat="1" applyFont="1" applyFill="1" applyBorder="1" applyAlignment="1">
      <alignment horizontal="center" vertical="center" wrapText="1"/>
    </xf>
    <xf numFmtId="10" fontId="7" fillId="0" borderId="0" xfId="0" applyNumberFormat="1" applyFont="1" applyAlignment="1">
      <alignment horizontal="center" vertical="center"/>
    </xf>
    <xf numFmtId="9" fontId="7" fillId="0" borderId="0" xfId="1" applyFont="1" applyAlignment="1">
      <alignment horizontal="center" wrapText="1"/>
    </xf>
    <xf numFmtId="10" fontId="7" fillId="0" borderId="2" xfId="1" applyNumberFormat="1" applyFont="1" applyBorder="1" applyAlignment="1">
      <alignment horizontal="center" vertical="center" wrapText="1"/>
    </xf>
    <xf numFmtId="9" fontId="7" fillId="0" borderId="2" xfId="1" applyFont="1" applyBorder="1" applyAlignment="1">
      <alignment horizontal="center" wrapText="1"/>
    </xf>
    <xf numFmtId="10" fontId="7" fillId="0" borderId="2" xfId="0" applyNumberFormat="1" applyFont="1" applyBorder="1" applyAlignment="1">
      <alignment horizontal="center" vertical="center"/>
    </xf>
    <xf numFmtId="9" fontId="7" fillId="0" borderId="2" xfId="1" applyFont="1" applyBorder="1" applyAlignment="1">
      <alignment horizontal="center" vertical="center" wrapText="1"/>
    </xf>
    <xf numFmtId="0" fontId="7" fillId="3" borderId="4" xfId="1" applyNumberFormat="1" applyFont="1" applyFill="1" applyBorder="1" applyAlignment="1">
      <alignment horizontal="center" vertical="center" wrapText="1"/>
    </xf>
    <xf numFmtId="10" fontId="8" fillId="5" borderId="1" xfId="0" applyNumberFormat="1" applyFont="1" applyFill="1" applyBorder="1" applyAlignment="1">
      <alignment horizontal="center" vertical="center"/>
    </xf>
    <xf numFmtId="10" fontId="7" fillId="0" borderId="1" xfId="0" applyNumberFormat="1" applyFont="1" applyBorder="1" applyAlignment="1">
      <alignment horizontal="center" vertical="center"/>
    </xf>
    <xf numFmtId="0" fontId="7" fillId="4" borderId="1" xfId="0" applyFont="1" applyFill="1" applyBorder="1" applyAlignment="1">
      <alignment horizontal="center" vertical="center" wrapText="1"/>
    </xf>
    <xf numFmtId="0" fontId="7" fillId="0" borderId="1" xfId="0" applyFont="1" applyBorder="1" applyAlignment="1">
      <alignment horizontal="center" vertical="center"/>
    </xf>
    <xf numFmtId="10" fontId="8" fillId="5" borderId="2" xfId="0" applyNumberFormat="1" applyFont="1" applyFill="1" applyBorder="1" applyAlignment="1">
      <alignment horizontal="center" vertical="center" wrapText="1"/>
    </xf>
    <xf numFmtId="0" fontId="7" fillId="4" borderId="2" xfId="0" applyFont="1" applyFill="1" applyBorder="1" applyAlignment="1">
      <alignment horizontal="center" vertical="center" wrapText="1"/>
    </xf>
    <xf numFmtId="0" fontId="7" fillId="0" borderId="2" xfId="0" applyFont="1" applyBorder="1" applyAlignment="1">
      <alignment horizontal="center" vertical="center"/>
    </xf>
    <xf numFmtId="10" fontId="8" fillId="5" borderId="0" xfId="0" applyNumberFormat="1" applyFont="1" applyFill="1" applyAlignment="1">
      <alignment horizontal="center" vertical="center"/>
    </xf>
    <xf numFmtId="0" fontId="7" fillId="4" borderId="0" xfId="0" applyFont="1" applyFill="1" applyAlignment="1">
      <alignment horizontal="center" vertical="center" wrapText="1"/>
    </xf>
    <xf numFmtId="0" fontId="7" fillId="0" borderId="0" xfId="0" applyFont="1" applyAlignment="1">
      <alignment horizontal="center" vertical="center"/>
    </xf>
    <xf numFmtId="9" fontId="7" fillId="0" borderId="3" xfId="0" applyNumberFormat="1" applyFont="1" applyBorder="1" applyAlignment="1">
      <alignment horizontal="center" vertical="center"/>
    </xf>
    <xf numFmtId="164" fontId="7" fillId="0" borderId="1" xfId="0" applyNumberFormat="1" applyFont="1" applyBorder="1" applyAlignment="1">
      <alignment horizontal="center" vertical="center"/>
    </xf>
    <xf numFmtId="9" fontId="7" fillId="0" borderId="1" xfId="0" applyNumberFormat="1" applyFont="1" applyBorder="1" applyAlignment="1">
      <alignment horizontal="center" vertical="center"/>
    </xf>
    <xf numFmtId="0" fontId="21" fillId="3" borderId="4" xfId="1" applyNumberFormat="1" applyFont="1" applyFill="1" applyBorder="1" applyAlignment="1">
      <alignment horizontal="left" vertical="top" wrapText="1"/>
    </xf>
    <xf numFmtId="9" fontId="7" fillId="0" borderId="2" xfId="0" applyNumberFormat="1" applyFont="1" applyBorder="1" applyAlignment="1">
      <alignment horizontal="center" vertical="center"/>
    </xf>
    <xf numFmtId="164" fontId="7" fillId="0" borderId="2" xfId="0" applyNumberFormat="1" applyFont="1" applyBorder="1" applyAlignment="1">
      <alignment horizontal="center" vertical="center"/>
    </xf>
    <xf numFmtId="0" fontId="8" fillId="4" borderId="3" xfId="0" applyFont="1" applyFill="1" applyBorder="1" applyAlignment="1">
      <alignment horizontal="center" vertical="center" wrapText="1"/>
    </xf>
    <xf numFmtId="0" fontId="8" fillId="4" borderId="2" xfId="0" applyFont="1" applyFill="1" applyBorder="1" applyAlignment="1">
      <alignment horizontal="center" vertical="center" wrapText="1"/>
    </xf>
    <xf numFmtId="0" fontId="7" fillId="0" borderId="0" xfId="0" applyFont="1" applyAlignment="1">
      <alignment wrapText="1"/>
    </xf>
    <xf numFmtId="0" fontId="7" fillId="0" borderId="0" xfId="0" applyFont="1" applyAlignment="1">
      <alignment horizontal="center" wrapText="1"/>
    </xf>
    <xf numFmtId="0" fontId="7" fillId="0" borderId="0" xfId="0" applyFont="1" applyAlignment="1">
      <alignment horizontal="center" vertical="center" wrapText="1"/>
    </xf>
    <xf numFmtId="0" fontId="22" fillId="0" borderId="0" xfId="0" applyFont="1" applyAlignment="1">
      <alignment vertical="center" wrapText="1"/>
    </xf>
    <xf numFmtId="164" fontId="7" fillId="0" borderId="3" xfId="0" applyNumberFormat="1" applyFont="1" applyBorder="1" applyAlignment="1">
      <alignment horizontal="center" vertical="center"/>
    </xf>
    <xf numFmtId="10" fontId="23" fillId="0" borderId="0" xfId="0" applyNumberFormat="1" applyFont="1" applyAlignment="1">
      <alignment horizontal="center" vertical="center"/>
    </xf>
    <xf numFmtId="0" fontId="9" fillId="0" borderId="0" xfId="0" applyFont="1" applyAlignment="1">
      <alignment horizontal="center" vertical="center" wrapText="1"/>
    </xf>
    <xf numFmtId="0" fontId="23" fillId="4" borderId="2" xfId="0" applyFont="1" applyFill="1" applyBorder="1" applyAlignment="1">
      <alignment horizontal="left" vertical="center" wrapText="1"/>
    </xf>
    <xf numFmtId="9" fontId="23" fillId="0" borderId="0" xfId="1" applyFont="1" applyAlignment="1">
      <alignment horizontal="center" wrapText="1"/>
    </xf>
    <xf numFmtId="0" fontId="23" fillId="4" borderId="1" xfId="0" applyFont="1" applyFill="1" applyBorder="1" applyAlignment="1">
      <alignment horizontal="left" vertical="center" wrapText="1"/>
    </xf>
    <xf numFmtId="10" fontId="24" fillId="3" borderId="4" xfId="0" applyNumberFormat="1" applyFont="1" applyFill="1" applyBorder="1" applyAlignment="1">
      <alignment horizontal="center" vertical="center" wrapText="1"/>
    </xf>
    <xf numFmtId="9" fontId="9" fillId="4" borderId="4" xfId="1" applyFont="1" applyFill="1" applyBorder="1" applyAlignment="1">
      <alignment horizontal="center" vertical="center" wrapText="1"/>
    </xf>
    <xf numFmtId="0" fontId="25" fillId="3" borderId="4" xfId="1" applyNumberFormat="1" applyFont="1" applyFill="1" applyBorder="1" applyAlignment="1">
      <alignment horizontal="center" vertical="center" wrapText="1"/>
    </xf>
    <xf numFmtId="0" fontId="9" fillId="0" borderId="2" xfId="0" applyFont="1" applyBorder="1" applyAlignment="1">
      <alignment horizontal="center" vertical="center" wrapText="1"/>
    </xf>
    <xf numFmtId="10" fontId="23" fillId="0" borderId="2" xfId="1" applyNumberFormat="1" applyFont="1" applyBorder="1" applyAlignment="1">
      <alignment horizontal="center" vertical="center" wrapText="1"/>
    </xf>
    <xf numFmtId="9" fontId="23" fillId="0" borderId="2" xfId="1" applyFont="1" applyBorder="1" applyAlignment="1">
      <alignment horizontal="center" wrapText="1"/>
    </xf>
    <xf numFmtId="9" fontId="23" fillId="0" borderId="2" xfId="1" applyFont="1" applyBorder="1" applyAlignment="1">
      <alignment horizontal="center" vertical="center" wrapText="1"/>
    </xf>
    <xf numFmtId="0" fontId="23" fillId="3" borderId="4" xfId="1" applyNumberFormat="1" applyFont="1" applyFill="1" applyBorder="1" applyAlignment="1">
      <alignment horizontal="center" vertical="center" wrapText="1"/>
    </xf>
    <xf numFmtId="0" fontId="9" fillId="0" borderId="3" xfId="0" applyFont="1" applyBorder="1" applyAlignment="1">
      <alignment horizontal="center" vertical="center" wrapText="1"/>
    </xf>
    <xf numFmtId="9" fontId="23" fillId="0" borderId="3" xfId="1" applyFont="1" applyBorder="1" applyAlignment="1">
      <alignment horizontal="center" wrapText="1"/>
    </xf>
    <xf numFmtId="10" fontId="9" fillId="5" borderId="1" xfId="0" applyNumberFormat="1" applyFont="1" applyFill="1" applyBorder="1" applyAlignment="1">
      <alignment horizontal="center" vertical="center"/>
    </xf>
    <xf numFmtId="10" fontId="23" fillId="0" borderId="1" xfId="0" applyNumberFormat="1" applyFont="1" applyBorder="1" applyAlignment="1">
      <alignment horizontal="center" vertical="center"/>
    </xf>
    <xf numFmtId="0" fontId="9" fillId="0" borderId="1" xfId="0" applyFont="1" applyBorder="1" applyAlignment="1">
      <alignment horizontal="center" vertical="center" wrapText="1"/>
    </xf>
    <xf numFmtId="0" fontId="23" fillId="4" borderId="1" xfId="0" applyFont="1" applyFill="1" applyBorder="1" applyAlignment="1">
      <alignment horizontal="center" vertical="center" wrapText="1"/>
    </xf>
    <xf numFmtId="0" fontId="23" fillId="0" borderId="1" xfId="0" applyFont="1" applyBorder="1" applyAlignment="1">
      <alignment horizontal="center" vertical="center"/>
    </xf>
    <xf numFmtId="10" fontId="9" fillId="5" borderId="0" xfId="0" applyNumberFormat="1" applyFont="1" applyFill="1" applyAlignment="1">
      <alignment horizontal="center" vertical="center"/>
    </xf>
    <xf numFmtId="0" fontId="23" fillId="4" borderId="0" xfId="0" applyFont="1" applyFill="1" applyAlignment="1">
      <alignment horizontal="center" vertical="center" wrapText="1"/>
    </xf>
    <xf numFmtId="0" fontId="23" fillId="0" borderId="0" xfId="0" applyFont="1" applyAlignment="1">
      <alignment horizontal="center" vertical="center"/>
    </xf>
    <xf numFmtId="9" fontId="23" fillId="0" borderId="3" xfId="0" applyNumberFormat="1" applyFont="1" applyBorder="1" applyAlignment="1">
      <alignment horizontal="center" vertical="center"/>
    </xf>
    <xf numFmtId="164" fontId="23" fillId="0" borderId="3" xfId="0" applyNumberFormat="1" applyFont="1" applyBorder="1" applyAlignment="1">
      <alignment horizontal="center" vertical="center"/>
    </xf>
    <xf numFmtId="0" fontId="23" fillId="4" borderId="9" xfId="0" applyFont="1" applyFill="1" applyBorder="1" applyAlignment="1">
      <alignment horizontal="center" vertical="center" wrapText="1"/>
    </xf>
    <xf numFmtId="0" fontId="25" fillId="3" borderId="4" xfId="1" applyNumberFormat="1" applyFont="1" applyFill="1" applyBorder="1" applyAlignment="1">
      <alignment horizontal="left" vertical="center" wrapText="1"/>
    </xf>
    <xf numFmtId="9" fontId="23" fillId="0" borderId="2" xfId="0" applyNumberFormat="1" applyFont="1" applyBorder="1" applyAlignment="1">
      <alignment horizontal="center" vertical="center"/>
    </xf>
    <xf numFmtId="164" fontId="23" fillId="0" borderId="2" xfId="0" applyNumberFormat="1" applyFont="1" applyBorder="1" applyAlignment="1">
      <alignment horizontal="center" vertical="center"/>
    </xf>
    <xf numFmtId="0" fontId="23" fillId="4" borderId="2" xfId="0" applyFont="1" applyFill="1" applyBorder="1" applyAlignment="1">
      <alignment horizontal="center" vertical="center" wrapText="1"/>
    </xf>
    <xf numFmtId="0" fontId="9" fillId="4" borderId="3" xfId="0" applyFont="1" applyFill="1" applyBorder="1" applyAlignment="1">
      <alignment horizontal="center" vertical="center" wrapText="1"/>
    </xf>
    <xf numFmtId="0" fontId="9" fillId="4" borderId="2" xfId="0" applyFont="1" applyFill="1" applyBorder="1" applyAlignment="1">
      <alignment horizontal="center" vertical="center" wrapText="1"/>
    </xf>
    <xf numFmtId="0" fontId="9" fillId="5" borderId="1" xfId="0" applyFont="1" applyFill="1" applyBorder="1" applyAlignment="1">
      <alignment horizontal="center" vertical="center" wrapText="1"/>
    </xf>
    <xf numFmtId="9" fontId="23" fillId="0" borderId="1" xfId="0" applyNumberFormat="1" applyFont="1" applyBorder="1" applyAlignment="1">
      <alignment horizontal="center" vertical="center"/>
    </xf>
    <xf numFmtId="0" fontId="23" fillId="0" borderId="1" xfId="0" applyFont="1" applyBorder="1" applyAlignment="1">
      <alignment horizontal="center" vertical="center" wrapText="1"/>
    </xf>
    <xf numFmtId="0" fontId="27" fillId="8" borderId="4" xfId="0" applyFont="1" applyFill="1" applyBorder="1" applyAlignment="1">
      <alignment vertical="top" wrapText="1"/>
    </xf>
    <xf numFmtId="0" fontId="8" fillId="4" borderId="1" xfId="0" applyFont="1" applyFill="1" applyBorder="1" applyAlignment="1">
      <alignment horizontal="center" vertical="center" wrapText="1"/>
    </xf>
    <xf numFmtId="0" fontId="3" fillId="4" borderId="1" xfId="0" applyFont="1" applyFill="1" applyBorder="1" applyAlignment="1">
      <alignment horizontal="center" vertical="center" wrapText="1"/>
    </xf>
    <xf numFmtId="0" fontId="0" fillId="0" borderId="0" xfId="0" applyAlignment="1">
      <alignment horizontal="center"/>
    </xf>
    <xf numFmtId="9" fontId="7" fillId="0" borderId="3" xfId="1" applyFont="1" applyBorder="1" applyAlignment="1">
      <alignment horizontal="center" vertical="center" wrapText="1"/>
    </xf>
    <xf numFmtId="9" fontId="7" fillId="0" borderId="0" xfId="1" applyFont="1" applyAlignment="1">
      <alignment horizontal="center" vertical="center" wrapText="1"/>
    </xf>
    <xf numFmtId="0" fontId="7" fillId="0" borderId="0" xfId="0" applyFont="1" applyAlignment="1">
      <alignment vertical="center"/>
    </xf>
    <xf numFmtId="10" fontId="10" fillId="3" borderId="6" xfId="0" applyNumberFormat="1" applyFont="1" applyFill="1" applyBorder="1" applyAlignment="1">
      <alignment horizontal="center" vertical="center" wrapText="1"/>
    </xf>
    <xf numFmtId="10" fontId="6" fillId="4" borderId="6" xfId="1" applyNumberFormat="1" applyFont="1" applyFill="1" applyBorder="1" applyAlignment="1">
      <alignment horizontal="center" vertical="center" wrapText="1"/>
    </xf>
    <xf numFmtId="0" fontId="0" fillId="3" borderId="6" xfId="1" applyNumberFormat="1" applyFont="1" applyFill="1" applyBorder="1" applyAlignment="1">
      <alignment horizontal="center" vertical="center" wrapText="1"/>
    </xf>
    <xf numFmtId="10" fontId="6" fillId="4" borderId="11" xfId="1" applyNumberFormat="1" applyFont="1" applyFill="1" applyBorder="1" applyAlignment="1">
      <alignment horizontal="center" vertical="center" wrapText="1"/>
    </xf>
    <xf numFmtId="0" fontId="7" fillId="3" borderId="11" xfId="1" applyNumberFormat="1" applyFont="1" applyFill="1" applyBorder="1" applyAlignment="1">
      <alignment horizontal="center" vertical="center" wrapText="1"/>
    </xf>
    <xf numFmtId="10" fontId="10" fillId="3" borderId="11" xfId="0" applyNumberFormat="1" applyFont="1" applyFill="1" applyBorder="1" applyAlignment="1">
      <alignment horizontal="center" vertical="center" wrapText="1"/>
    </xf>
    <xf numFmtId="0" fontId="0" fillId="3" borderId="11" xfId="1" applyNumberFormat="1" applyFont="1" applyFill="1" applyBorder="1" applyAlignment="1">
      <alignment horizontal="center" vertical="center" wrapText="1"/>
    </xf>
    <xf numFmtId="10" fontId="10" fillId="3" borderId="12" xfId="0" applyNumberFormat="1" applyFont="1" applyFill="1" applyBorder="1" applyAlignment="1">
      <alignment horizontal="center" vertical="center" wrapText="1"/>
    </xf>
    <xf numFmtId="10" fontId="18" fillId="0" borderId="0" xfId="1" applyNumberFormat="1" applyFont="1" applyAlignment="1">
      <alignment horizontal="center" vertical="center" wrapText="1"/>
    </xf>
    <xf numFmtId="0" fontId="8" fillId="6" borderId="1" xfId="0" applyFont="1" applyFill="1" applyBorder="1" applyAlignment="1">
      <alignment horizontal="center" vertical="center" wrapText="1"/>
    </xf>
    <xf numFmtId="10" fontId="8" fillId="4" borderId="11" xfId="1" applyNumberFormat="1" applyFont="1" applyFill="1" applyBorder="1" applyAlignment="1">
      <alignment horizontal="center" vertical="center" wrapText="1"/>
    </xf>
    <xf numFmtId="10" fontId="8" fillId="4" borderId="6" xfId="1" applyNumberFormat="1" applyFont="1" applyFill="1" applyBorder="1" applyAlignment="1">
      <alignment horizontal="center" vertical="center" wrapText="1"/>
    </xf>
    <xf numFmtId="0" fontId="28" fillId="2" borderId="0" xfId="0" applyFont="1" applyFill="1" applyAlignment="1">
      <alignment horizontal="center" vertical="center" wrapText="1"/>
    </xf>
    <xf numFmtId="10" fontId="28" fillId="2" borderId="0" xfId="1" applyNumberFormat="1" applyFont="1" applyFill="1" applyAlignment="1">
      <alignment horizontal="center" vertical="center" wrapText="1"/>
    </xf>
    <xf numFmtId="10" fontId="20" fillId="3" borderId="12" xfId="0" applyNumberFormat="1" applyFont="1" applyFill="1" applyBorder="1" applyAlignment="1">
      <alignment horizontal="center" vertical="center" wrapText="1"/>
    </xf>
    <xf numFmtId="10" fontId="7" fillId="4" borderId="1" xfId="1" applyNumberFormat="1" applyFont="1" applyFill="1" applyBorder="1" applyAlignment="1">
      <alignment horizontal="center" vertical="center" wrapText="1"/>
    </xf>
    <xf numFmtId="0" fontId="28" fillId="7" borderId="1" xfId="0" applyFont="1" applyFill="1" applyBorder="1" applyAlignment="1">
      <alignment horizontal="center" vertical="center" wrapText="1"/>
    </xf>
    <xf numFmtId="10" fontId="6" fillId="4" borderId="20" xfId="1" applyNumberFormat="1" applyFont="1" applyFill="1" applyBorder="1" applyAlignment="1">
      <alignment horizontal="center" vertical="center" wrapText="1"/>
    </xf>
    <xf numFmtId="0" fontId="0" fillId="3" borderId="7" xfId="1" applyNumberFormat="1" applyFont="1" applyFill="1" applyBorder="1" applyAlignment="1">
      <alignment horizontal="center" vertical="center" wrapText="1"/>
    </xf>
    <xf numFmtId="0" fontId="7" fillId="3" borderId="4" xfId="1" applyNumberFormat="1" applyFont="1" applyFill="1" applyBorder="1" applyAlignment="1">
      <alignment horizontal="left" vertical="center" wrapText="1" indent="4"/>
    </xf>
    <xf numFmtId="10" fontId="8" fillId="4" borderId="12" xfId="1" applyNumberFormat="1" applyFont="1" applyFill="1" applyBorder="1" applyAlignment="1">
      <alignment horizontal="center" vertical="center" wrapText="1"/>
    </xf>
    <xf numFmtId="10" fontId="6" fillId="4" borderId="12" xfId="1" applyNumberFormat="1" applyFont="1" applyFill="1" applyBorder="1" applyAlignment="1">
      <alignment horizontal="center" vertical="center" wrapText="1"/>
    </xf>
    <xf numFmtId="0" fontId="7" fillId="0" borderId="0" xfId="0" applyFont="1" applyAlignment="1">
      <alignment horizontal="center"/>
    </xf>
    <xf numFmtId="0" fontId="21" fillId="3" borderId="7" xfId="1" applyNumberFormat="1" applyFont="1" applyFill="1" applyBorder="1" applyAlignment="1">
      <alignment horizontal="center" vertical="center" wrapText="1"/>
    </xf>
    <xf numFmtId="0" fontId="30" fillId="0" borderId="0" xfId="0" applyFont="1" applyAlignment="1">
      <alignment horizontal="center" vertical="center"/>
    </xf>
    <xf numFmtId="0" fontId="31" fillId="3" borderId="11" xfId="0" applyFont="1" applyFill="1" applyBorder="1" applyAlignment="1">
      <alignment horizontal="center" vertical="center" wrapText="1"/>
    </xf>
    <xf numFmtId="0" fontId="30" fillId="0" borderId="0" xfId="0" applyFont="1"/>
    <xf numFmtId="0" fontId="30" fillId="0" borderId="0" xfId="0" applyFont="1" applyAlignment="1">
      <alignment horizontal="center"/>
    </xf>
    <xf numFmtId="0" fontId="7" fillId="3" borderId="6" xfId="1" applyNumberFormat="1" applyFont="1" applyFill="1" applyBorder="1" applyAlignment="1">
      <alignment horizontal="center" vertical="center" wrapText="1"/>
    </xf>
    <xf numFmtId="0" fontId="21" fillId="3" borderId="11" xfId="0" applyFont="1" applyFill="1" applyBorder="1" applyAlignment="1">
      <alignment horizontal="center" vertical="center" wrapText="1"/>
    </xf>
    <xf numFmtId="10" fontId="6" fillId="4" borderId="4" xfId="1" applyNumberFormat="1" applyFont="1" applyFill="1" applyBorder="1" applyAlignment="1">
      <alignment horizontal="center" vertical="center"/>
    </xf>
    <xf numFmtId="10" fontId="10" fillId="3" borderId="4" xfId="0" applyNumberFormat="1" applyFont="1" applyFill="1" applyBorder="1" applyAlignment="1">
      <alignment horizontal="center" vertical="center"/>
    </xf>
    <xf numFmtId="10" fontId="6" fillId="4" borderId="4" xfId="1" applyNumberFormat="1" applyFont="1" applyFill="1" applyBorder="1" applyAlignment="1">
      <alignment horizontal="left" vertical="center" indent="1"/>
    </xf>
    <xf numFmtId="10" fontId="6" fillId="4" borderId="4" xfId="1" applyNumberFormat="1" applyFont="1" applyFill="1" applyBorder="1" applyAlignment="1">
      <alignment horizontal="center" vertical="center" wrapText="1" indent="2"/>
    </xf>
    <xf numFmtId="10" fontId="6" fillId="4" borderId="4" xfId="1" applyNumberFormat="1" applyFont="1" applyFill="1" applyBorder="1" applyAlignment="1">
      <alignment horizontal="center" vertical="center" wrapText="1" indent="1"/>
    </xf>
    <xf numFmtId="10" fontId="8" fillId="4" borderId="4" xfId="1" applyNumberFormat="1" applyFont="1" applyFill="1" applyBorder="1" applyAlignment="1">
      <alignment horizontal="left" vertical="center" indent="1"/>
    </xf>
    <xf numFmtId="9" fontId="6" fillId="4" borderId="4" xfId="1" applyFont="1" applyFill="1" applyBorder="1" applyAlignment="1">
      <alignment horizontal="center" vertical="center"/>
    </xf>
    <xf numFmtId="0" fontId="31" fillId="3" borderId="11" xfId="0" applyFont="1" applyFill="1" applyBorder="1" applyAlignment="1">
      <alignment horizontal="left" vertical="center" wrapText="1" indent="1"/>
    </xf>
    <xf numFmtId="10" fontId="10" fillId="3" borderId="13" xfId="0" applyNumberFormat="1" applyFont="1" applyFill="1" applyBorder="1" applyAlignment="1">
      <alignment horizontal="center" vertical="center" wrapText="1"/>
    </xf>
    <xf numFmtId="0" fontId="31" fillId="3" borderId="21" xfId="0" applyFont="1" applyFill="1" applyBorder="1" applyAlignment="1">
      <alignment horizontal="center" vertical="center" wrapText="1"/>
    </xf>
    <xf numFmtId="10" fontId="10" fillId="3" borderId="12" xfId="0" applyNumberFormat="1" applyFont="1" applyFill="1" applyBorder="1" applyAlignment="1">
      <alignment vertical="center" wrapText="1"/>
    </xf>
    <xf numFmtId="10" fontId="8" fillId="4" borderId="4" xfId="1" applyNumberFormat="1" applyFont="1" applyFill="1" applyBorder="1" applyAlignment="1">
      <alignment horizontal="center" vertical="center" indent="1"/>
    </xf>
    <xf numFmtId="10" fontId="6" fillId="4" borderId="4" xfId="1" applyNumberFormat="1" applyFont="1" applyFill="1" applyBorder="1" applyAlignment="1">
      <alignment horizontal="center" vertical="center" wrapText="1" indent="3"/>
    </xf>
    <xf numFmtId="0" fontId="12" fillId="3" borderId="7" xfId="1" applyNumberFormat="1" applyFont="1" applyFill="1" applyBorder="1" applyAlignment="1">
      <alignment horizontal="center" vertical="center" wrapText="1"/>
    </xf>
    <xf numFmtId="0" fontId="12" fillId="3" borderId="11" xfId="1" applyNumberFormat="1" applyFont="1" applyFill="1" applyBorder="1" applyAlignment="1">
      <alignment horizontal="center" vertical="center" wrapText="1"/>
    </xf>
    <xf numFmtId="0" fontId="21" fillId="3" borderId="6" xfId="1" applyNumberFormat="1" applyFont="1" applyFill="1" applyBorder="1" applyAlignment="1">
      <alignment horizontal="left" vertical="center" wrapText="1" indent="1"/>
    </xf>
    <xf numFmtId="0" fontId="21" fillId="3" borderId="4" xfId="1" applyNumberFormat="1" applyFont="1" applyFill="1" applyBorder="1" applyAlignment="1">
      <alignment horizontal="left" vertical="center" wrapText="1" indent="1"/>
    </xf>
    <xf numFmtId="0" fontId="7" fillId="3" borderId="4" xfId="0" applyFont="1" applyFill="1" applyBorder="1" applyAlignment="1">
      <alignment vertical="center" wrapText="1"/>
    </xf>
    <xf numFmtId="10" fontId="34" fillId="3" borderId="4" xfId="0" applyNumberFormat="1" applyFont="1" applyFill="1" applyBorder="1" applyAlignment="1">
      <alignment horizontal="center" vertical="center" wrapText="1"/>
    </xf>
    <xf numFmtId="0" fontId="11" fillId="4" borderId="3" xfId="0" applyFont="1" applyFill="1" applyBorder="1" applyAlignment="1">
      <alignment horizontal="center" vertical="center" wrapText="1"/>
    </xf>
    <xf numFmtId="0" fontId="11" fillId="4" borderId="2" xfId="0" applyFont="1" applyFill="1" applyBorder="1" applyAlignment="1">
      <alignment horizontal="center" vertical="center" wrapText="1"/>
    </xf>
    <xf numFmtId="0" fontId="11" fillId="0" borderId="3" xfId="0" applyFont="1" applyBorder="1" applyAlignment="1">
      <alignment horizontal="center" vertical="center" wrapText="1"/>
    </xf>
    <xf numFmtId="0" fontId="11" fillId="0" borderId="2" xfId="0" applyFont="1" applyBorder="1" applyAlignment="1">
      <alignment horizontal="center" vertical="center" wrapText="1"/>
    </xf>
    <xf numFmtId="0" fontId="12" fillId="3" borderId="4" xfId="1" applyNumberFormat="1" applyFont="1" applyFill="1" applyBorder="1" applyAlignment="1">
      <alignment horizontal="left" vertical="center" wrapText="1" indent="1"/>
    </xf>
    <xf numFmtId="9" fontId="6" fillId="4" borderId="12" xfId="1" applyFont="1" applyFill="1" applyBorder="1" applyAlignment="1">
      <alignment horizontal="center" vertical="center"/>
    </xf>
    <xf numFmtId="9" fontId="6" fillId="4" borderId="12" xfId="1" applyFont="1" applyFill="1" applyBorder="1" applyAlignment="1">
      <alignment horizontal="center" vertical="center" wrapText="1"/>
    </xf>
    <xf numFmtId="10" fontId="6" fillId="4" borderId="7" xfId="1" applyNumberFormat="1" applyFont="1" applyFill="1" applyBorder="1" applyAlignment="1">
      <alignment horizontal="center" vertical="center" wrapText="1"/>
    </xf>
    <xf numFmtId="10" fontId="10" fillId="3" borderId="14" xfId="0" applyNumberFormat="1" applyFont="1" applyFill="1" applyBorder="1" applyAlignment="1">
      <alignment horizontal="center" vertical="center" wrapText="1"/>
    </xf>
    <xf numFmtId="10" fontId="6" fillId="4" borderId="17" xfId="1" applyNumberFormat="1" applyFont="1" applyFill="1" applyBorder="1" applyAlignment="1">
      <alignment horizontal="center" vertical="center" wrapText="1"/>
    </xf>
    <xf numFmtId="9" fontId="9" fillId="4" borderId="4" xfId="1" applyFont="1" applyFill="1" applyBorder="1" applyAlignment="1">
      <alignment horizontal="left" vertical="center" indent="1"/>
    </xf>
    <xf numFmtId="9" fontId="9" fillId="4" borderId="4" xfId="1" applyFont="1" applyFill="1" applyBorder="1" applyAlignment="1">
      <alignment horizontal="left" vertical="center" wrapText="1" indent="1"/>
    </xf>
    <xf numFmtId="10" fontId="6" fillId="4" borderId="11" xfId="1" applyNumberFormat="1" applyFont="1" applyFill="1" applyBorder="1" applyAlignment="1">
      <alignment horizontal="center" vertical="center" wrapText="1" indent="2"/>
    </xf>
    <xf numFmtId="10" fontId="6" fillId="4" borderId="11" xfId="1" applyNumberFormat="1" applyFont="1" applyFill="1" applyBorder="1" applyAlignment="1">
      <alignment horizontal="center" vertical="center" wrapText="1" indent="3"/>
    </xf>
    <xf numFmtId="10" fontId="10" fillId="3" borderId="14" xfId="0" applyNumberFormat="1" applyFont="1" applyFill="1" applyBorder="1" applyAlignment="1">
      <alignment horizontal="center" vertical="center" wrapText="1" indent="1"/>
    </xf>
    <xf numFmtId="10" fontId="6" fillId="4" borderId="11" xfId="1" applyNumberFormat="1" applyFont="1" applyFill="1" applyBorder="1" applyAlignment="1">
      <alignment horizontal="center" vertical="center" wrapText="1" indent="4"/>
    </xf>
    <xf numFmtId="10" fontId="10" fillId="3" borderId="14" xfId="0" applyNumberFormat="1" applyFont="1" applyFill="1" applyBorder="1" applyAlignment="1">
      <alignment horizontal="center" vertical="center" wrapText="1" indent="2"/>
    </xf>
    <xf numFmtId="10" fontId="10" fillId="3" borderId="17" xfId="0" applyNumberFormat="1" applyFont="1" applyFill="1" applyBorder="1" applyAlignment="1">
      <alignment horizontal="center" vertical="center" wrapText="1"/>
    </xf>
    <xf numFmtId="10" fontId="10" fillId="3" borderId="7" xfId="0" applyNumberFormat="1" applyFont="1" applyFill="1" applyBorder="1" applyAlignment="1">
      <alignment horizontal="center" vertical="center" wrapText="1"/>
    </xf>
    <xf numFmtId="10" fontId="6" fillId="4" borderId="25" xfId="1" applyNumberFormat="1" applyFont="1" applyFill="1" applyBorder="1" applyAlignment="1">
      <alignment horizontal="center" vertical="center" wrapText="1"/>
    </xf>
    <xf numFmtId="10" fontId="6" fillId="4" borderId="11" xfId="1" applyNumberFormat="1" applyFont="1" applyFill="1" applyBorder="1" applyAlignment="1">
      <alignment horizontal="center" vertical="center" wrapText="1" indent="1"/>
    </xf>
    <xf numFmtId="10" fontId="10" fillId="3" borderId="11" xfId="0" applyNumberFormat="1" applyFont="1" applyFill="1" applyBorder="1" applyAlignment="1">
      <alignment horizontal="center" vertical="center" wrapText="1" indent="1"/>
    </xf>
    <xf numFmtId="10" fontId="6" fillId="4" borderId="20" xfId="1" applyNumberFormat="1" applyFont="1" applyFill="1" applyBorder="1" applyAlignment="1">
      <alignment horizontal="center" vertical="center" wrapText="1" indent="1"/>
    </xf>
    <xf numFmtId="10" fontId="6" fillId="4" borderId="11" xfId="1" applyNumberFormat="1" applyFont="1" applyFill="1" applyBorder="1" applyAlignment="1">
      <alignment horizontal="left" vertical="center" wrapText="1" indent="3"/>
    </xf>
    <xf numFmtId="10" fontId="10" fillId="3" borderId="26" xfId="0" applyNumberFormat="1" applyFont="1" applyFill="1" applyBorder="1" applyAlignment="1">
      <alignment horizontal="left" vertical="center" wrapText="1" indent="2"/>
    </xf>
    <xf numFmtId="9" fontId="0" fillId="0" borderId="0" xfId="1" applyFont="1"/>
    <xf numFmtId="10" fontId="10" fillId="3" borderId="15" xfId="0" applyNumberFormat="1" applyFont="1" applyFill="1" applyBorder="1" applyAlignment="1">
      <alignment horizontal="center" vertical="center" wrapText="1"/>
    </xf>
    <xf numFmtId="10" fontId="10" fillId="3" borderId="8" xfId="0" applyNumberFormat="1" applyFont="1" applyFill="1" applyBorder="1" applyAlignment="1">
      <alignment horizontal="center" vertical="center" wrapText="1"/>
    </xf>
    <xf numFmtId="10" fontId="10" fillId="3" borderId="16" xfId="0" applyNumberFormat="1" applyFont="1" applyFill="1" applyBorder="1" applyAlignment="1">
      <alignment horizontal="center" vertical="center" wrapText="1"/>
    </xf>
    <xf numFmtId="10" fontId="10" fillId="3" borderId="18" xfId="0" applyNumberFormat="1" applyFont="1" applyFill="1" applyBorder="1" applyAlignment="1">
      <alignment horizontal="center" vertical="center" wrapText="1"/>
    </xf>
    <xf numFmtId="10" fontId="6" fillId="4" borderId="15" xfId="1" applyNumberFormat="1" applyFont="1" applyFill="1" applyBorder="1" applyAlignment="1">
      <alignment horizontal="center" vertical="center" wrapText="1"/>
    </xf>
    <xf numFmtId="10" fontId="10" fillId="0" borderId="0" xfId="0" applyNumberFormat="1" applyFont="1" applyAlignment="1">
      <alignment horizontal="center" vertical="center" wrapText="1"/>
    </xf>
    <xf numFmtId="10" fontId="6" fillId="0" borderId="0" xfId="1" applyNumberFormat="1" applyFont="1" applyAlignment="1">
      <alignment horizontal="center" vertical="center" wrapText="1"/>
    </xf>
    <xf numFmtId="0" fontId="12" fillId="0" borderId="0" xfId="1" applyNumberFormat="1" applyFont="1" applyAlignment="1">
      <alignment horizontal="left" vertical="center" wrapText="1"/>
    </xf>
    <xf numFmtId="0" fontId="7" fillId="3" borderId="29" xfId="1" applyNumberFormat="1" applyFont="1" applyFill="1" applyBorder="1" applyAlignment="1">
      <alignment horizontal="left" vertical="center" wrapText="1"/>
    </xf>
    <xf numFmtId="0" fontId="31" fillId="3" borderId="31" xfId="0" applyFont="1" applyFill="1" applyBorder="1" applyAlignment="1">
      <alignment horizontal="left" vertical="center" wrapText="1"/>
    </xf>
    <xf numFmtId="0" fontId="7" fillId="3" borderId="29" xfId="1" applyNumberFormat="1" applyFont="1" applyFill="1" applyBorder="1" applyAlignment="1">
      <alignment horizontal="left" vertical="center" wrapText="1" indent="3"/>
    </xf>
    <xf numFmtId="0" fontId="12" fillId="3" borderId="29" xfId="1" applyNumberFormat="1" applyFont="1" applyFill="1" applyBorder="1" applyAlignment="1">
      <alignment horizontal="center" vertical="center" wrapText="1"/>
    </xf>
    <xf numFmtId="0" fontId="0" fillId="3" borderId="29" xfId="1" applyNumberFormat="1" applyFont="1" applyFill="1" applyBorder="1" applyAlignment="1">
      <alignment horizontal="center" vertical="center" wrapText="1"/>
    </xf>
    <xf numFmtId="0" fontId="0" fillId="3" borderId="29" xfId="1" applyNumberFormat="1" applyFont="1" applyFill="1" applyBorder="1" applyAlignment="1">
      <alignment horizontal="left" vertical="center" wrapText="1"/>
    </xf>
    <xf numFmtId="0" fontId="12" fillId="3" borderId="35" xfId="1" applyNumberFormat="1" applyFont="1" applyFill="1" applyBorder="1" applyAlignment="1">
      <alignment horizontal="center" vertical="center" wrapText="1"/>
    </xf>
    <xf numFmtId="0" fontId="12" fillId="3" borderId="30" xfId="1" applyNumberFormat="1" applyFont="1" applyFill="1" applyBorder="1" applyAlignment="1">
      <alignment vertical="center" wrapText="1"/>
    </xf>
    <xf numFmtId="10" fontId="35" fillId="3" borderId="14" xfId="1" applyNumberFormat="1" applyFont="1" applyFill="1" applyBorder="1" applyAlignment="1">
      <alignment horizontal="center" vertical="center" wrapText="1"/>
    </xf>
    <xf numFmtId="0" fontId="27" fillId="9" borderId="35" xfId="0" applyFont="1" applyFill="1" applyBorder="1" applyAlignment="1">
      <alignment vertical="center" wrapText="1"/>
    </xf>
    <xf numFmtId="0" fontId="13" fillId="3" borderId="36" xfId="1" applyNumberFormat="1" applyFont="1" applyFill="1" applyBorder="1" applyAlignment="1">
      <alignment horizontal="center" vertical="center" wrapText="1"/>
    </xf>
    <xf numFmtId="0" fontId="12" fillId="3" borderId="29" xfId="1" applyNumberFormat="1" applyFont="1" applyFill="1" applyBorder="1" applyAlignment="1">
      <alignment horizontal="left" vertical="center" wrapText="1" indent="1"/>
    </xf>
    <xf numFmtId="0" fontId="21" fillId="3" borderId="29" xfId="1" applyNumberFormat="1" applyFont="1" applyFill="1" applyBorder="1" applyAlignment="1">
      <alignment horizontal="center" vertical="center" wrapText="1"/>
    </xf>
    <xf numFmtId="0" fontId="12" fillId="3" borderId="35" xfId="1" applyNumberFormat="1" applyFont="1" applyFill="1" applyBorder="1" applyAlignment="1">
      <alignment vertical="center" wrapText="1" indent="2"/>
    </xf>
    <xf numFmtId="0" fontId="7" fillId="3" borderId="29" xfId="1" applyNumberFormat="1" applyFont="1" applyFill="1" applyBorder="1" applyAlignment="1">
      <alignment horizontal="center" vertical="center" wrapText="1"/>
    </xf>
    <xf numFmtId="0" fontId="7" fillId="3" borderId="36" xfId="1" applyNumberFormat="1" applyFont="1" applyFill="1" applyBorder="1" applyAlignment="1">
      <alignment horizontal="center" vertical="center" wrapText="1"/>
    </xf>
    <xf numFmtId="0" fontId="12" fillId="3" borderId="29" xfId="1" applyNumberFormat="1" applyFont="1" applyFill="1" applyBorder="1" applyAlignment="1">
      <alignment vertical="center" wrapText="1"/>
    </xf>
    <xf numFmtId="9" fontId="9" fillId="4" borderId="12" xfId="1" applyFont="1" applyFill="1" applyBorder="1" applyAlignment="1">
      <alignment horizontal="center" vertical="center" wrapText="1"/>
    </xf>
    <xf numFmtId="9" fontId="9" fillId="4" borderId="12" xfId="1" applyFont="1" applyFill="1" applyBorder="1" applyAlignment="1">
      <alignment horizontal="center" vertical="center"/>
    </xf>
    <xf numFmtId="0" fontId="21" fillId="3" borderId="30" xfId="0" applyFont="1" applyFill="1" applyBorder="1" applyAlignment="1">
      <alignment horizontal="left" vertical="center" wrapText="1"/>
    </xf>
    <xf numFmtId="10" fontId="6" fillId="4" borderId="12" xfId="1" applyNumberFormat="1" applyFont="1" applyFill="1" applyBorder="1" applyAlignment="1">
      <alignment horizontal="center" vertical="center"/>
    </xf>
    <xf numFmtId="0" fontId="21" fillId="3" borderId="29" xfId="1" applyNumberFormat="1" applyFont="1" applyFill="1" applyBorder="1" applyAlignment="1">
      <alignment horizontal="left" vertical="center" wrapText="1"/>
    </xf>
    <xf numFmtId="0" fontId="21" fillId="3" borderId="34" xfId="1" applyNumberFormat="1" applyFont="1" applyFill="1" applyBorder="1" applyAlignment="1">
      <alignment horizontal="left" vertical="center" wrapText="1" indent="5"/>
    </xf>
    <xf numFmtId="0" fontId="7" fillId="3" borderId="29" xfId="1" applyNumberFormat="1" applyFont="1" applyFill="1" applyBorder="1" applyAlignment="1">
      <alignment horizontal="left" vertical="center" wrapText="1" indent="1"/>
    </xf>
    <xf numFmtId="10" fontId="8" fillId="4" borderId="12" xfId="1" applyNumberFormat="1" applyFont="1" applyFill="1" applyBorder="1" applyAlignment="1">
      <alignment horizontal="center" vertical="center" indent="1"/>
    </xf>
    <xf numFmtId="0" fontId="7" fillId="3" borderId="34" xfId="1" applyNumberFormat="1" applyFont="1" applyFill="1" applyBorder="1" applyAlignment="1">
      <alignment horizontal="center" vertical="center" wrapText="1"/>
    </xf>
    <xf numFmtId="0" fontId="12" fillId="3" borderId="35" xfId="1" applyNumberFormat="1" applyFont="1" applyFill="1" applyBorder="1" applyAlignment="1">
      <alignment vertical="center" wrapText="1"/>
    </xf>
    <xf numFmtId="10" fontId="16" fillId="4" borderId="12" xfId="1" applyNumberFormat="1" applyFont="1" applyFill="1" applyBorder="1" applyAlignment="1">
      <alignment horizontal="center" vertical="center" wrapText="1"/>
    </xf>
    <xf numFmtId="10" fontId="6" fillId="4" borderId="12" xfId="1" applyNumberFormat="1" applyFont="1" applyFill="1" applyBorder="1" applyAlignment="1">
      <alignment horizontal="center" vertical="center" wrapText="1" indent="3"/>
    </xf>
    <xf numFmtId="0" fontId="21" fillId="3" borderId="34" xfId="1" applyNumberFormat="1" applyFont="1" applyFill="1" applyBorder="1" applyAlignment="1">
      <alignment horizontal="left" vertical="center" wrapText="1" indent="3"/>
    </xf>
    <xf numFmtId="0" fontId="0" fillId="3" borderId="29" xfId="0" applyFill="1" applyBorder="1" applyAlignment="1">
      <alignment vertical="center" wrapText="1"/>
    </xf>
    <xf numFmtId="0" fontId="31" fillId="3" borderId="30" xfId="0" applyFont="1" applyFill="1" applyBorder="1" applyAlignment="1">
      <alignment horizontal="left" vertical="center" wrapText="1" indent="1"/>
    </xf>
    <xf numFmtId="0" fontId="0" fillId="3" borderId="32" xfId="0" applyFill="1" applyBorder="1" applyAlignment="1">
      <alignment horizontal="left" vertical="center" wrapText="1" indent="8"/>
    </xf>
    <xf numFmtId="10" fontId="6" fillId="4" borderId="12" xfId="1" applyNumberFormat="1" applyFont="1" applyFill="1" applyBorder="1" applyAlignment="1">
      <alignment horizontal="center" vertical="center" wrapText="1" indent="1"/>
    </xf>
    <xf numFmtId="10" fontId="10" fillId="3" borderId="27" xfId="0" applyNumberFormat="1" applyFont="1" applyFill="1" applyBorder="1" applyAlignment="1">
      <alignment horizontal="center" vertical="center" wrapText="1" indent="1"/>
    </xf>
    <xf numFmtId="10" fontId="6" fillId="4" borderId="38" xfId="1" applyNumberFormat="1" applyFont="1" applyFill="1" applyBorder="1" applyAlignment="1">
      <alignment horizontal="center" vertical="center" wrapText="1"/>
    </xf>
    <xf numFmtId="0" fontId="12" fillId="3" borderId="31" xfId="1" applyNumberFormat="1" applyFont="1" applyFill="1" applyBorder="1" applyAlignment="1">
      <alignment vertical="center" wrapText="1"/>
    </xf>
    <xf numFmtId="0" fontId="12" fillId="0" borderId="0" xfId="1" applyNumberFormat="1" applyFont="1" applyAlignment="1">
      <alignment horizontal="center" vertical="center" wrapText="1"/>
    </xf>
    <xf numFmtId="0" fontId="27" fillId="0" borderId="0" xfId="0" applyFont="1" applyAlignment="1">
      <alignment vertical="center" wrapText="1"/>
    </xf>
    <xf numFmtId="0" fontId="1" fillId="3" borderId="30" xfId="1" applyNumberFormat="1" applyFill="1" applyBorder="1" applyAlignment="1">
      <alignment vertical="center" wrapText="1"/>
    </xf>
    <xf numFmtId="0" fontId="0" fillId="0" borderId="0" xfId="0" applyAlignment="1">
      <alignment vertical="center"/>
    </xf>
    <xf numFmtId="10" fontId="6" fillId="4" borderId="21" xfId="1" applyNumberFormat="1" applyFont="1" applyFill="1" applyBorder="1" applyAlignment="1">
      <alignment horizontal="center" vertical="center" wrapText="1"/>
    </xf>
    <xf numFmtId="9" fontId="9" fillId="4" borderId="7" xfId="1" applyFont="1" applyFill="1" applyBorder="1" applyAlignment="1">
      <alignment horizontal="center" vertical="center" wrapText="1"/>
    </xf>
    <xf numFmtId="0" fontId="21" fillId="3" borderId="4" xfId="1" applyNumberFormat="1" applyFont="1" applyFill="1" applyBorder="1" applyAlignment="1">
      <alignment vertical="center" wrapText="1"/>
    </xf>
    <xf numFmtId="0" fontId="12" fillId="3" borderId="29" xfId="1" applyNumberFormat="1" applyFont="1" applyFill="1" applyBorder="1" applyAlignment="1">
      <alignment horizontal="left" vertical="center" wrapText="1" indent="2"/>
    </xf>
    <xf numFmtId="0" fontId="21" fillId="3" borderId="4" xfId="1" applyNumberFormat="1" applyFont="1" applyFill="1" applyBorder="1" applyAlignment="1">
      <alignment horizontal="left" vertical="center" wrapText="1"/>
    </xf>
    <xf numFmtId="0" fontId="21" fillId="3" borderId="6" xfId="1" applyNumberFormat="1" applyFont="1" applyFill="1" applyBorder="1" applyAlignment="1">
      <alignment horizontal="center" vertical="center" wrapText="1"/>
    </xf>
    <xf numFmtId="0" fontId="31" fillId="9" borderId="35" xfId="0" applyFont="1" applyFill="1" applyBorder="1" applyAlignment="1">
      <alignment horizontal="center" vertical="center" wrapText="1"/>
    </xf>
    <xf numFmtId="0" fontId="21" fillId="3" borderId="29" xfId="1" applyNumberFormat="1" applyFont="1" applyFill="1" applyBorder="1" applyAlignment="1">
      <alignment horizontal="left" vertical="center" wrapText="1" indent="1"/>
    </xf>
    <xf numFmtId="0" fontId="12" fillId="0" borderId="0" xfId="1" applyNumberFormat="1" applyFont="1" applyAlignment="1">
      <alignment horizontal="left" vertical="center" wrapText="1" indent="1"/>
    </xf>
    <xf numFmtId="0" fontId="31" fillId="3" borderId="30" xfId="0" applyFont="1" applyFill="1" applyBorder="1" applyAlignment="1">
      <alignment horizontal="left" vertical="center" wrapText="1"/>
    </xf>
    <xf numFmtId="0" fontId="31" fillId="9" borderId="31" xfId="0" applyFont="1" applyFill="1" applyBorder="1" applyAlignment="1">
      <alignment horizontal="left" vertical="center" wrapText="1" indent="1"/>
    </xf>
    <xf numFmtId="0" fontId="31" fillId="9" borderId="30" xfId="0" applyFont="1" applyFill="1" applyBorder="1" applyAlignment="1">
      <alignment horizontal="left" vertical="center" wrapText="1" indent="1"/>
    </xf>
    <xf numFmtId="0" fontId="21" fillId="3" borderId="11" xfId="1" applyNumberFormat="1" applyFont="1" applyFill="1" applyBorder="1" applyAlignment="1">
      <alignment horizontal="center" vertical="center" wrapText="1"/>
    </xf>
    <xf numFmtId="0" fontId="21" fillId="3" borderId="34" xfId="1" applyNumberFormat="1" applyFont="1" applyFill="1" applyBorder="1" applyAlignment="1">
      <alignment horizontal="left" vertical="center" wrapText="1" indent="1"/>
    </xf>
    <xf numFmtId="0" fontId="31" fillId="9" borderId="30" xfId="0" applyFont="1" applyFill="1" applyBorder="1" applyAlignment="1">
      <alignment horizontal="center" vertical="center" wrapText="1"/>
    </xf>
    <xf numFmtId="0" fontId="31" fillId="9" borderId="31" xfId="0" applyFont="1" applyFill="1" applyBorder="1" applyAlignment="1">
      <alignment horizontal="center" vertical="center" wrapText="1"/>
    </xf>
    <xf numFmtId="0" fontId="21" fillId="3" borderId="34" xfId="1" applyNumberFormat="1" applyFont="1" applyFill="1" applyBorder="1" applyAlignment="1">
      <alignment horizontal="left" vertical="center" wrapText="1" indent="2"/>
    </xf>
    <xf numFmtId="0" fontId="12" fillId="3" borderId="30" xfId="0" applyFont="1" applyFill="1" applyBorder="1" applyAlignment="1">
      <alignment horizontal="left" vertical="center" wrapText="1" indent="8"/>
    </xf>
    <xf numFmtId="0" fontId="21" fillId="3" borderId="30" xfId="1" applyNumberFormat="1" applyFont="1" applyFill="1" applyBorder="1" applyAlignment="1">
      <alignment horizontal="left" vertical="center" wrapText="1" indent="1"/>
    </xf>
    <xf numFmtId="0" fontId="7" fillId="3" borderId="6" xfId="1" applyNumberFormat="1" applyFont="1" applyFill="1" applyBorder="1" applyAlignment="1">
      <alignment horizontal="left" vertical="center" wrapText="1" indent="1"/>
    </xf>
    <xf numFmtId="0" fontId="7" fillId="3" borderId="34" xfId="1" applyNumberFormat="1" applyFont="1" applyFill="1" applyBorder="1" applyAlignment="1">
      <alignment horizontal="left" vertical="center" wrapText="1" indent="1"/>
    </xf>
    <xf numFmtId="0" fontId="12" fillId="3" borderId="30" xfId="1" applyNumberFormat="1" applyFont="1" applyFill="1" applyBorder="1" applyAlignment="1">
      <alignment horizontal="left" vertical="center" wrapText="1" indent="1"/>
    </xf>
    <xf numFmtId="9" fontId="9" fillId="4" borderId="13" xfId="1" applyFont="1" applyFill="1" applyBorder="1" applyAlignment="1">
      <alignment horizontal="center" vertical="center" wrapText="1"/>
    </xf>
    <xf numFmtId="10" fontId="24" fillId="3" borderId="7" xfId="0" applyNumberFormat="1" applyFont="1" applyFill="1" applyBorder="1" applyAlignment="1">
      <alignment horizontal="center" vertical="center" wrapText="1"/>
    </xf>
    <xf numFmtId="10" fontId="6" fillId="4" borderId="13" xfId="1" applyNumberFormat="1" applyFont="1" applyFill="1" applyBorder="1" applyAlignment="1">
      <alignment horizontal="center" vertical="center" wrapText="1"/>
    </xf>
    <xf numFmtId="10" fontId="6" fillId="4" borderId="18" xfId="1" applyNumberFormat="1" applyFont="1" applyFill="1" applyBorder="1" applyAlignment="1">
      <alignment horizontal="center" vertical="center" wrapText="1"/>
    </xf>
    <xf numFmtId="10" fontId="6" fillId="4" borderId="26" xfId="1" applyNumberFormat="1" applyFont="1" applyFill="1" applyBorder="1" applyAlignment="1">
      <alignment horizontal="center" vertical="center" wrapText="1"/>
    </xf>
    <xf numFmtId="0" fontId="21" fillId="3" borderId="35" xfId="1" applyNumberFormat="1" applyFont="1" applyFill="1" applyBorder="1" applyAlignment="1">
      <alignment vertical="center" wrapText="1" indent="2"/>
    </xf>
    <xf numFmtId="0" fontId="31" fillId="9" borderId="29" xfId="0" applyFont="1" applyFill="1" applyBorder="1" applyAlignment="1">
      <alignment horizontal="center" vertical="center" wrapText="1"/>
    </xf>
    <xf numFmtId="0" fontId="21" fillId="3" borderId="30" xfId="1" applyNumberFormat="1" applyFont="1" applyFill="1" applyBorder="1" applyAlignment="1">
      <alignment horizontal="center" vertical="center" wrapText="1"/>
    </xf>
    <xf numFmtId="0" fontId="23" fillId="3" borderId="36" xfId="1" applyNumberFormat="1" applyFont="1" applyFill="1" applyBorder="1" applyAlignment="1">
      <alignment horizontal="center" vertical="center" wrapText="1"/>
    </xf>
    <xf numFmtId="0" fontId="21" fillId="3" borderId="34" xfId="1" applyNumberFormat="1" applyFont="1" applyFill="1" applyBorder="1" applyAlignment="1">
      <alignment horizontal="center" vertical="center" wrapText="1"/>
    </xf>
    <xf numFmtId="10" fontId="10" fillId="3" borderId="26" xfId="0" applyNumberFormat="1" applyFont="1" applyFill="1" applyBorder="1" applyAlignment="1">
      <alignment horizontal="center" vertical="center" wrapText="1"/>
    </xf>
    <xf numFmtId="10" fontId="10" fillId="3" borderId="27" xfId="0" applyNumberFormat="1" applyFont="1" applyFill="1" applyBorder="1" applyAlignment="1">
      <alignment horizontal="center" vertical="center" wrapText="1"/>
    </xf>
    <xf numFmtId="0" fontId="12" fillId="3" borderId="32" xfId="1" applyNumberFormat="1" applyFont="1" applyFill="1" applyBorder="1" applyAlignment="1">
      <alignment horizontal="left" vertical="center" wrapText="1"/>
    </xf>
    <xf numFmtId="10" fontId="8" fillId="4" borderId="12" xfId="1" applyNumberFormat="1" applyFont="1" applyFill="1" applyBorder="1" applyAlignment="1">
      <alignment horizontal="center" vertical="center"/>
    </xf>
    <xf numFmtId="0" fontId="21" fillId="3" borderId="32" xfId="1" applyNumberFormat="1" applyFont="1" applyFill="1" applyBorder="1" applyAlignment="1">
      <alignment horizontal="center" vertical="center" wrapText="1"/>
    </xf>
    <xf numFmtId="0" fontId="0" fillId="3" borderId="34" xfId="1" applyNumberFormat="1" applyFont="1" applyFill="1" applyBorder="1" applyAlignment="1">
      <alignment horizontal="center" vertical="center" wrapText="1"/>
    </xf>
    <xf numFmtId="10" fontId="20" fillId="3" borderId="14" xfId="0" applyNumberFormat="1" applyFont="1" applyFill="1" applyBorder="1" applyAlignment="1">
      <alignment horizontal="center" vertical="center" wrapText="1"/>
    </xf>
    <xf numFmtId="0" fontId="21" fillId="3" borderId="32" xfId="1" applyNumberFormat="1" applyFont="1" applyFill="1" applyBorder="1" applyAlignment="1">
      <alignment horizontal="left" vertical="center" wrapText="1" indent="1"/>
    </xf>
    <xf numFmtId="0" fontId="7" fillId="3" borderId="34" xfId="1" applyNumberFormat="1" applyFont="1" applyFill="1" applyBorder="1" applyAlignment="1">
      <alignment horizontal="left" vertical="center" wrapText="1"/>
    </xf>
    <xf numFmtId="9" fontId="1" fillId="0" borderId="3" xfId="1" applyBorder="1" applyAlignment="1">
      <alignment horizontal="center" vertical="center" wrapText="1"/>
    </xf>
    <xf numFmtId="9" fontId="1" fillId="0" borderId="0" xfId="1" applyAlignment="1">
      <alignment horizontal="center" vertical="center" wrapText="1"/>
    </xf>
    <xf numFmtId="0" fontId="25" fillId="3" borderId="29" xfId="1" applyNumberFormat="1" applyFont="1" applyFill="1" applyBorder="1" applyAlignment="1">
      <alignment horizontal="center" vertical="center" wrapText="1"/>
    </xf>
    <xf numFmtId="0" fontId="44" fillId="9" borderId="30" xfId="0" applyFont="1" applyFill="1" applyBorder="1" applyAlignment="1">
      <alignment horizontal="left" wrapText="1" indent="1"/>
    </xf>
    <xf numFmtId="0" fontId="25" fillId="3" borderId="35" xfId="1" applyNumberFormat="1" applyFont="1" applyFill="1" applyBorder="1" applyAlignment="1">
      <alignment vertical="center" wrapText="1" indent="2"/>
    </xf>
    <xf numFmtId="0" fontId="25" fillId="3" borderId="29" xfId="1" applyNumberFormat="1" applyFont="1" applyFill="1" applyBorder="1" applyAlignment="1">
      <alignment horizontal="left" vertical="center" wrapText="1" indent="1"/>
    </xf>
    <xf numFmtId="0" fontId="25" fillId="3" borderId="34" xfId="1" applyNumberFormat="1" applyFont="1" applyFill="1" applyBorder="1" applyAlignment="1">
      <alignment horizontal="left" vertical="center" wrapText="1" indent="1"/>
    </xf>
    <xf numFmtId="0" fontId="44" fillId="9" borderId="30" xfId="0" applyFont="1" applyFill="1" applyBorder="1" applyAlignment="1">
      <alignment horizontal="left" vertical="center" wrapText="1" indent="1"/>
    </xf>
    <xf numFmtId="10" fontId="3" fillId="4" borderId="12" xfId="1" applyNumberFormat="1" applyFont="1" applyFill="1" applyBorder="1" applyAlignment="1">
      <alignment horizontal="center" vertical="center" wrapText="1"/>
    </xf>
    <xf numFmtId="10" fontId="3" fillId="4" borderId="20" xfId="1" applyNumberFormat="1" applyFont="1" applyFill="1" applyBorder="1" applyAlignment="1">
      <alignment horizontal="center" vertical="center" wrapText="1"/>
    </xf>
    <xf numFmtId="10" fontId="3" fillId="4" borderId="17" xfId="1" applyNumberFormat="1" applyFont="1" applyFill="1" applyBorder="1" applyAlignment="1">
      <alignment horizontal="center" vertical="center" wrapText="1"/>
    </xf>
    <xf numFmtId="10" fontId="3" fillId="4" borderId="13" xfId="1" applyNumberFormat="1" applyFont="1" applyFill="1" applyBorder="1" applyAlignment="1">
      <alignment horizontal="center" vertical="center" wrapText="1"/>
    </xf>
    <xf numFmtId="10" fontId="33" fillId="0" borderId="0" xfId="1" applyNumberFormat="1" applyFont="1" applyAlignment="1">
      <alignment horizontal="center" vertical="center" wrapText="1"/>
    </xf>
    <xf numFmtId="0" fontId="31" fillId="9" borderId="31" xfId="0" applyFont="1" applyFill="1" applyBorder="1" applyAlignment="1">
      <alignment horizontal="left" vertical="center" wrapText="1" indent="3"/>
    </xf>
    <xf numFmtId="10" fontId="10" fillId="3" borderId="13" xfId="0" applyNumberFormat="1" applyFont="1" applyFill="1" applyBorder="1" applyAlignment="1">
      <alignment horizontal="center" vertical="center" wrapText="1" indent="1"/>
    </xf>
    <xf numFmtId="10" fontId="10" fillId="3" borderId="13" xfId="0" applyNumberFormat="1" applyFont="1" applyFill="1" applyBorder="1" applyAlignment="1">
      <alignment horizontal="center" vertical="center" wrapText="1" indent="2"/>
    </xf>
    <xf numFmtId="0" fontId="31" fillId="9" borderId="30" xfId="0" applyFont="1" applyFill="1" applyBorder="1" applyAlignment="1">
      <alignment horizontal="left" vertical="center" wrapText="1"/>
    </xf>
    <xf numFmtId="0" fontId="7" fillId="3" borderId="36" xfId="1" applyNumberFormat="1" applyFont="1" applyFill="1" applyBorder="1" applyAlignment="1">
      <alignment horizontal="left" vertical="center" wrapText="1"/>
    </xf>
    <xf numFmtId="0" fontId="45" fillId="0" borderId="0" xfId="0" applyFont="1"/>
    <xf numFmtId="165" fontId="6" fillId="4" borderId="12" xfId="1" applyNumberFormat="1" applyFont="1" applyFill="1" applyBorder="1" applyAlignment="1">
      <alignment horizontal="center" vertical="center" wrapText="1"/>
    </xf>
    <xf numFmtId="0" fontId="8" fillId="6" borderId="3" xfId="0" applyFont="1" applyFill="1" applyBorder="1" applyAlignment="1">
      <alignment horizontal="center" vertical="center" wrapText="1"/>
    </xf>
    <xf numFmtId="0" fontId="7" fillId="0" borderId="0" xfId="0" applyFont="1" applyAlignment="1">
      <alignment wrapText="1"/>
    </xf>
    <xf numFmtId="10" fontId="8" fillId="4" borderId="4" xfId="1" applyNumberFormat="1" applyFont="1" applyFill="1" applyBorder="1" applyAlignment="1">
      <alignment horizontal="center" vertical="center" wrapText="1"/>
    </xf>
    <xf numFmtId="0" fontId="0" fillId="0" borderId="6" xfId="0" applyBorder="1"/>
    <xf numFmtId="10" fontId="8" fillId="4" borderId="12" xfId="1" applyNumberFormat="1" applyFont="1" applyFill="1" applyBorder="1" applyAlignment="1">
      <alignment horizontal="center" vertical="center" wrapText="1"/>
    </xf>
    <xf numFmtId="0" fontId="0" fillId="0" borderId="17" xfId="0" applyBorder="1"/>
    <xf numFmtId="10" fontId="20" fillId="3" borderId="4" xfId="0" applyNumberFormat="1" applyFont="1" applyFill="1" applyBorder="1" applyAlignment="1">
      <alignment horizontal="center" vertical="center" wrapText="1"/>
    </xf>
    <xf numFmtId="0" fontId="0" fillId="0" borderId="5" xfId="0" applyBorder="1"/>
    <xf numFmtId="0" fontId="8" fillId="5" borderId="3" xfId="0" applyFont="1" applyFill="1" applyBorder="1" applyAlignment="1">
      <alignment horizontal="center" vertical="center" wrapText="1"/>
    </xf>
    <xf numFmtId="0" fontId="7" fillId="0" borderId="0" xfId="0" applyFont="1" applyAlignment="1">
      <alignment horizontal="center" vertical="center"/>
    </xf>
    <xf numFmtId="0" fontId="8" fillId="5" borderId="3" xfId="0" applyFont="1" applyFill="1" applyBorder="1" applyAlignment="1">
      <alignment horizontal="center" vertical="center"/>
    </xf>
    <xf numFmtId="0" fontId="8" fillId="0" borderId="3" xfId="0" applyFont="1" applyBorder="1" applyAlignment="1">
      <alignment horizontal="center" vertical="center" wrapText="1"/>
    </xf>
    <xf numFmtId="0" fontId="0" fillId="0" borderId="0" xfId="0"/>
    <xf numFmtId="9" fontId="8" fillId="0" borderId="3" xfId="0" applyNumberFormat="1" applyFont="1" applyBorder="1" applyAlignment="1">
      <alignment horizontal="center" vertical="center"/>
    </xf>
    <xf numFmtId="0" fontId="7" fillId="0" borderId="0" xfId="0" applyFont="1"/>
    <xf numFmtId="10" fontId="7" fillId="0" borderId="3" xfId="1" applyNumberFormat="1" applyFont="1" applyBorder="1" applyAlignment="1">
      <alignment horizontal="center" vertical="center" wrapText="1"/>
    </xf>
    <xf numFmtId="10" fontId="20" fillId="3" borderId="15" xfId="0" applyNumberFormat="1" applyFont="1" applyFill="1" applyBorder="1" applyAlignment="1">
      <alignment horizontal="center" vertical="center" wrapText="1"/>
    </xf>
    <xf numFmtId="0" fontId="0" fillId="0" borderId="8" xfId="0" applyBorder="1"/>
    <xf numFmtId="0" fontId="0" fillId="0" borderId="23" xfId="0" applyBorder="1"/>
    <xf numFmtId="0" fontId="0" fillId="0" borderId="0" xfId="0" applyAlignment="1">
      <alignment horizontal="center"/>
    </xf>
    <xf numFmtId="10" fontId="10" fillId="3" borderId="6" xfId="0" applyNumberFormat="1" applyFont="1" applyFill="1" applyBorder="1" applyAlignment="1">
      <alignment horizontal="center" vertical="center" wrapText="1"/>
    </xf>
    <xf numFmtId="10" fontId="6" fillId="4" borderId="17" xfId="1" applyNumberFormat="1" applyFont="1" applyFill="1" applyBorder="1" applyAlignment="1">
      <alignment horizontal="center" vertical="center" wrapText="1"/>
    </xf>
    <xf numFmtId="10" fontId="10" fillId="3" borderId="19" xfId="0" applyNumberFormat="1" applyFont="1" applyFill="1" applyBorder="1" applyAlignment="1">
      <alignment horizontal="center" vertical="center" wrapText="1"/>
    </xf>
    <xf numFmtId="0" fontId="0" fillId="0" borderId="24" xfId="0" applyBorder="1"/>
    <xf numFmtId="0" fontId="0" fillId="0" borderId="18" xfId="0" applyBorder="1"/>
    <xf numFmtId="0" fontId="0" fillId="0" borderId="19" xfId="0" applyBorder="1"/>
    <xf numFmtId="0" fontId="7" fillId="0" borderId="0" xfId="0" applyFont="1" applyAlignment="1">
      <alignment horizontal="center" wrapText="1"/>
    </xf>
    <xf numFmtId="0" fontId="21" fillId="3" borderId="4" xfId="1" applyNumberFormat="1" applyFont="1" applyFill="1" applyBorder="1" applyAlignment="1">
      <alignment horizontal="center" vertical="center" wrapText="1"/>
    </xf>
    <xf numFmtId="10" fontId="7" fillId="0" borderId="3" xfId="0" applyNumberFormat="1" applyFont="1" applyBorder="1" applyAlignment="1">
      <alignment horizontal="center" vertical="center"/>
    </xf>
    <xf numFmtId="10" fontId="6" fillId="4" borderId="6" xfId="1" applyNumberFormat="1" applyFont="1" applyFill="1" applyBorder="1" applyAlignment="1">
      <alignment horizontal="center" vertical="center" wrapText="1"/>
    </xf>
    <xf numFmtId="10" fontId="10" fillId="3" borderId="4" xfId="0" applyNumberFormat="1" applyFont="1" applyFill="1" applyBorder="1" applyAlignment="1">
      <alignment horizontal="center" vertical="center" wrapText="1"/>
    </xf>
    <xf numFmtId="0" fontId="12" fillId="3" borderId="28" xfId="1" applyNumberFormat="1" applyFont="1" applyFill="1" applyBorder="1" applyAlignment="1">
      <alignment horizontal="center" vertical="center" wrapText="1"/>
    </xf>
    <xf numFmtId="0" fontId="0" fillId="0" borderId="32" xfId="0" applyBorder="1"/>
    <xf numFmtId="0" fontId="0" fillId="0" borderId="34" xfId="0" applyBorder="1"/>
    <xf numFmtId="10" fontId="20" fillId="3" borderId="4" xfId="1" applyNumberFormat="1" applyFont="1" applyFill="1" applyBorder="1" applyAlignment="1">
      <alignment horizontal="center" vertical="center" wrapText="1"/>
    </xf>
    <xf numFmtId="0" fontId="0" fillId="0" borderId="13" xfId="0" applyBorder="1"/>
    <xf numFmtId="0" fontId="0" fillId="0" borderId="14" xfId="0" applyBorder="1"/>
    <xf numFmtId="10" fontId="10" fillId="3" borderId="14" xfId="0" applyNumberFormat="1" applyFont="1" applyFill="1" applyBorder="1" applyAlignment="1">
      <alignment horizontal="center" vertical="center" wrapText="1"/>
    </xf>
    <xf numFmtId="0" fontId="0" fillId="3" borderId="29" xfId="1" applyNumberFormat="1" applyFont="1" applyFill="1" applyBorder="1" applyAlignment="1">
      <alignment horizontal="center" vertical="center" wrapText="1"/>
    </xf>
    <xf numFmtId="10" fontId="6" fillId="4" borderId="4" xfId="1" applyNumberFormat="1" applyFont="1" applyFill="1" applyBorder="1" applyAlignment="1">
      <alignment horizontal="center" vertical="center" wrapText="1"/>
    </xf>
    <xf numFmtId="0" fontId="7" fillId="3" borderId="4" xfId="1" applyNumberFormat="1" applyFont="1" applyFill="1" applyBorder="1" applyAlignment="1">
      <alignment horizontal="center" vertical="center" wrapText="1"/>
    </xf>
    <xf numFmtId="9" fontId="7" fillId="0" borderId="3" xfId="0" applyNumberFormat="1" applyFont="1" applyBorder="1" applyAlignment="1">
      <alignment horizontal="center" vertical="center"/>
    </xf>
    <xf numFmtId="10" fontId="6" fillId="4" borderId="15" xfId="1" applyNumberFormat="1" applyFont="1" applyFill="1" applyBorder="1" applyAlignment="1">
      <alignment horizontal="center" vertical="center" wrapText="1"/>
    </xf>
    <xf numFmtId="0" fontId="21" fillId="3" borderId="7" xfId="1" applyNumberFormat="1" applyFont="1" applyFill="1" applyBorder="1" applyAlignment="1">
      <alignment horizontal="left" vertical="center" wrapText="1"/>
    </xf>
    <xf numFmtId="10" fontId="10" fillId="3" borderId="27" xfId="0" applyNumberFormat="1" applyFont="1" applyFill="1" applyBorder="1" applyAlignment="1">
      <alignment horizontal="center" vertical="center" wrapText="1"/>
    </xf>
    <xf numFmtId="0" fontId="0" fillId="0" borderId="26" xfId="0" applyBorder="1"/>
    <xf numFmtId="0" fontId="0" fillId="0" borderId="27" xfId="0" applyBorder="1"/>
    <xf numFmtId="10" fontId="10" fillId="3" borderId="39" xfId="0" applyNumberFormat="1" applyFont="1" applyFill="1" applyBorder="1" applyAlignment="1">
      <alignment horizontal="center" vertical="center" wrapText="1"/>
    </xf>
    <xf numFmtId="0" fontId="0" fillId="0" borderId="39" xfId="0" applyBorder="1"/>
    <xf numFmtId="0" fontId="21" fillId="3" borderId="35" xfId="1" applyNumberFormat="1" applyFont="1" applyFill="1" applyBorder="1" applyAlignment="1">
      <alignment horizontal="left" vertical="center" wrapText="1"/>
    </xf>
    <xf numFmtId="0" fontId="12" fillId="3" borderId="29" xfId="1" applyNumberFormat="1" applyFont="1" applyFill="1" applyBorder="1" applyAlignment="1">
      <alignment horizontal="left" vertical="center" wrapText="1"/>
    </xf>
    <xf numFmtId="0" fontId="23" fillId="3" borderId="4" xfId="1" applyNumberFormat="1" applyFont="1" applyFill="1" applyBorder="1" applyAlignment="1">
      <alignment horizontal="center" vertical="center" wrapText="1"/>
    </xf>
    <xf numFmtId="10" fontId="20" fillId="3" borderId="12" xfId="0" applyNumberFormat="1" applyFont="1" applyFill="1" applyBorder="1" applyAlignment="1">
      <alignment horizontal="center" vertical="center" wrapText="1"/>
    </xf>
    <xf numFmtId="0" fontId="21" fillId="3" borderId="28" xfId="1" applyNumberFormat="1" applyFont="1" applyFill="1" applyBorder="1" applyAlignment="1">
      <alignment horizontal="center" vertical="center" wrapText="1"/>
    </xf>
    <xf numFmtId="0" fontId="21" fillId="3" borderId="29" xfId="1" applyNumberFormat="1" applyFont="1" applyFill="1" applyBorder="1" applyAlignment="1">
      <alignment horizontal="center" vertical="center" wrapText="1"/>
    </xf>
    <xf numFmtId="0" fontId="21" fillId="3" borderId="7" xfId="1" applyNumberFormat="1" applyFont="1" applyFill="1" applyBorder="1" applyAlignment="1">
      <alignment horizontal="center" vertical="center" wrapText="1"/>
    </xf>
    <xf numFmtId="0" fontId="21" fillId="3" borderId="35" xfId="1" applyNumberFormat="1" applyFont="1" applyFill="1" applyBorder="1" applyAlignment="1">
      <alignment vertical="center" wrapText="1"/>
    </xf>
    <xf numFmtId="10" fontId="6" fillId="4" borderId="12" xfId="1" applyNumberFormat="1" applyFont="1" applyFill="1" applyBorder="1" applyAlignment="1">
      <alignment horizontal="center" vertical="center" wrapText="1"/>
    </xf>
    <xf numFmtId="0" fontId="8" fillId="6" borderId="1" xfId="0" applyFont="1" applyFill="1" applyBorder="1" applyAlignment="1">
      <alignment horizontal="center" vertical="center" wrapText="1"/>
    </xf>
    <xf numFmtId="0" fontId="0" fillId="0" borderId="0" xfId="0" applyAlignment="1">
      <alignment wrapText="1"/>
    </xf>
    <xf numFmtId="0" fontId="0" fillId="0" borderId="2" xfId="0" applyBorder="1"/>
    <xf numFmtId="0" fontId="8" fillId="5" borderId="1" xfId="0" applyFont="1" applyFill="1" applyBorder="1" applyAlignment="1">
      <alignment horizontal="center" vertical="center" wrapText="1"/>
    </xf>
    <xf numFmtId="0" fontId="8" fillId="5" borderId="1" xfId="0" applyFont="1" applyFill="1" applyBorder="1" applyAlignment="1">
      <alignment horizontal="center" vertical="center"/>
    </xf>
    <xf numFmtId="0" fontId="0" fillId="0" borderId="0" xfId="0" applyAlignment="1">
      <alignment horizontal="center" vertical="center"/>
    </xf>
    <xf numFmtId="0" fontId="8" fillId="0" borderId="1" xfId="0" applyFont="1" applyBorder="1" applyAlignment="1">
      <alignment horizontal="center" vertical="center" wrapText="1"/>
    </xf>
    <xf numFmtId="9" fontId="8" fillId="0" borderId="1" xfId="0" applyNumberFormat="1" applyFont="1" applyBorder="1" applyAlignment="1">
      <alignment horizontal="center" vertical="center"/>
    </xf>
    <xf numFmtId="10" fontId="7" fillId="0" borderId="1" xfId="1" applyNumberFormat="1" applyFont="1" applyBorder="1" applyAlignment="1">
      <alignment horizontal="center" vertical="center" wrapText="1"/>
    </xf>
    <xf numFmtId="0" fontId="0" fillId="0" borderId="16" xfId="0" applyBorder="1"/>
    <xf numFmtId="0" fontId="0" fillId="0" borderId="0" xfId="0" applyAlignment="1">
      <alignment horizontal="center" wrapText="1"/>
    </xf>
    <xf numFmtId="10" fontId="7" fillId="0" borderId="1" xfId="0" applyNumberFormat="1" applyFont="1" applyBorder="1" applyAlignment="1">
      <alignment horizontal="center" vertical="center"/>
    </xf>
    <xf numFmtId="0" fontId="23" fillId="3" borderId="29" xfId="1" applyNumberFormat="1" applyFont="1" applyFill="1" applyBorder="1" applyAlignment="1">
      <alignment horizontal="center" vertical="center" wrapText="1"/>
    </xf>
    <xf numFmtId="9" fontId="7" fillId="0" borderId="1" xfId="0" applyNumberFormat="1" applyFont="1" applyBorder="1" applyAlignment="1">
      <alignment horizontal="center" vertical="center"/>
    </xf>
    <xf numFmtId="0" fontId="21" fillId="3" borderId="4" xfId="1" applyNumberFormat="1" applyFont="1" applyFill="1" applyBorder="1" applyAlignment="1">
      <alignment horizontal="left" vertical="top" wrapText="1"/>
    </xf>
    <xf numFmtId="10" fontId="10" fillId="3" borderId="27" xfId="1" applyNumberFormat="1" applyFont="1" applyFill="1" applyBorder="1" applyAlignment="1">
      <alignment horizontal="center" vertical="center" wrapText="1"/>
    </xf>
    <xf numFmtId="0" fontId="40" fillId="8" borderId="50" xfId="0" applyFont="1" applyFill="1" applyBorder="1" applyAlignment="1">
      <alignment vertical="center" wrapText="1"/>
    </xf>
    <xf numFmtId="0" fontId="0" fillId="0" borderId="33" xfId="0" applyBorder="1"/>
    <xf numFmtId="0" fontId="39" fillId="8" borderId="50" xfId="0" applyFont="1" applyFill="1" applyBorder="1" applyAlignment="1">
      <alignment vertical="center" wrapText="1"/>
    </xf>
    <xf numFmtId="10" fontId="17" fillId="3" borderId="4" xfId="0" applyNumberFormat="1" applyFont="1" applyFill="1" applyBorder="1" applyAlignment="1">
      <alignment horizontal="center" vertical="center" wrapText="1"/>
    </xf>
    <xf numFmtId="0" fontId="7" fillId="3" borderId="28" xfId="1" applyNumberFormat="1" applyFont="1" applyFill="1" applyBorder="1" applyAlignment="1">
      <alignment horizontal="center" vertical="center" wrapText="1"/>
    </xf>
    <xf numFmtId="0" fontId="8" fillId="6" borderId="2" xfId="0" applyFont="1" applyFill="1" applyBorder="1" applyAlignment="1">
      <alignment horizontal="center" vertical="center" wrapText="1"/>
    </xf>
    <xf numFmtId="10" fontId="0" fillId="0" borderId="1" xfId="0" applyNumberFormat="1" applyBorder="1" applyAlignment="1">
      <alignment horizontal="center" vertical="center"/>
    </xf>
    <xf numFmtId="0" fontId="1" fillId="3" borderId="6" xfId="1" applyNumberFormat="1" applyFill="1" applyBorder="1" applyAlignment="1">
      <alignment horizontal="center" vertical="center" wrapText="1"/>
    </xf>
    <xf numFmtId="0" fontId="31" fillId="8" borderId="29" xfId="0" applyFont="1" applyFill="1" applyBorder="1" applyAlignment="1">
      <alignment horizontal="left" vertical="center" wrapText="1"/>
    </xf>
    <xf numFmtId="0" fontId="0" fillId="3" borderId="4" xfId="1" applyNumberFormat="1" applyFont="1" applyFill="1" applyBorder="1" applyAlignment="1">
      <alignment horizontal="center" vertical="center" wrapText="1"/>
    </xf>
    <xf numFmtId="10" fontId="1" fillId="0" borderId="1" xfId="1" applyNumberFormat="1" applyBorder="1" applyAlignment="1">
      <alignment horizontal="center" vertical="center" wrapText="1"/>
    </xf>
    <xf numFmtId="9" fontId="9" fillId="0" borderId="1" xfId="0" applyNumberFormat="1" applyFont="1" applyBorder="1" applyAlignment="1">
      <alignment horizontal="center" vertical="center"/>
    </xf>
    <xf numFmtId="0" fontId="21" fillId="3" borderId="29" xfId="1" applyNumberFormat="1" applyFont="1" applyFill="1" applyBorder="1" applyAlignment="1">
      <alignment horizontal="left" vertical="center" wrapText="1"/>
    </xf>
    <xf numFmtId="9" fontId="0" fillId="0" borderId="1" xfId="0" applyNumberFormat="1" applyBorder="1" applyAlignment="1">
      <alignment horizontal="center" vertical="center"/>
    </xf>
    <xf numFmtId="10" fontId="1" fillId="0" borderId="2" xfId="1" applyNumberFormat="1" applyBorder="1" applyAlignment="1">
      <alignment horizontal="center" vertical="center" wrapText="1"/>
    </xf>
    <xf numFmtId="0" fontId="8" fillId="0" borderId="2" xfId="0" applyFont="1" applyBorder="1" applyAlignment="1">
      <alignment horizontal="center" vertical="center" wrapText="1"/>
    </xf>
    <xf numFmtId="10" fontId="0" fillId="0" borderId="2" xfId="0" applyNumberFormat="1" applyBorder="1" applyAlignment="1">
      <alignment horizontal="center" vertical="center"/>
    </xf>
    <xf numFmtId="10" fontId="10" fillId="3" borderId="4" xfId="1" applyNumberFormat="1" applyFont="1" applyFill="1" applyBorder="1" applyAlignment="1">
      <alignment horizontal="center" vertical="center" wrapText="1"/>
    </xf>
    <xf numFmtId="0" fontId="31" fillId="3" borderId="4" xfId="1" applyNumberFormat="1" applyFont="1" applyFill="1" applyBorder="1" applyAlignment="1">
      <alignment horizontal="center" vertical="center" wrapText="1"/>
    </xf>
    <xf numFmtId="0" fontId="9" fillId="6" borderId="1" xfId="0" applyFont="1" applyFill="1" applyBorder="1" applyAlignment="1">
      <alignment horizontal="center" vertical="center" wrapText="1"/>
    </xf>
    <xf numFmtId="10" fontId="10" fillId="3" borderId="14" xfId="1" applyNumberFormat="1" applyFont="1" applyFill="1" applyBorder="1" applyAlignment="1">
      <alignment horizontal="center" vertical="center" wrapText="1"/>
    </xf>
    <xf numFmtId="0" fontId="31" fillId="8" borderId="4" xfId="0" applyFont="1" applyFill="1" applyBorder="1" applyAlignment="1">
      <alignment horizontal="left" vertical="center" wrapText="1"/>
    </xf>
    <xf numFmtId="0" fontId="7" fillId="3" borderId="6" xfId="1" applyNumberFormat="1" applyFont="1" applyFill="1" applyBorder="1" applyAlignment="1">
      <alignment horizontal="center" vertical="center" wrapText="1"/>
    </xf>
    <xf numFmtId="0" fontId="12" fillId="3" borderId="4" xfId="1" applyNumberFormat="1" applyFont="1" applyFill="1" applyBorder="1" applyAlignment="1">
      <alignment horizontal="center" vertical="center" wrapText="1"/>
    </xf>
    <xf numFmtId="0" fontId="31" fillId="3" borderId="29" xfId="1" applyNumberFormat="1" applyFont="1" applyFill="1" applyBorder="1" applyAlignment="1">
      <alignment horizontal="center" vertical="center" wrapText="1"/>
    </xf>
    <xf numFmtId="9" fontId="9" fillId="0" borderId="2" xfId="0" applyNumberFormat="1" applyFont="1" applyBorder="1" applyAlignment="1">
      <alignment horizontal="center" vertical="center"/>
    </xf>
    <xf numFmtId="0" fontId="8" fillId="5" borderId="2" xfId="0" applyFont="1" applyFill="1" applyBorder="1" applyAlignment="1">
      <alignment horizontal="center" vertical="center"/>
    </xf>
    <xf numFmtId="10" fontId="10" fillId="3" borderId="19" xfId="1" applyNumberFormat="1" applyFont="1" applyFill="1" applyBorder="1" applyAlignment="1">
      <alignment horizontal="center" vertical="center" wrapText="1"/>
    </xf>
    <xf numFmtId="0" fontId="0" fillId="3" borderId="29" xfId="1" applyNumberFormat="1" applyFont="1" applyFill="1" applyBorder="1" applyAlignment="1">
      <alignment horizontal="left" vertical="center" wrapText="1"/>
    </xf>
    <xf numFmtId="0" fontId="31" fillId="3" borderId="29" xfId="1" applyNumberFormat="1" applyFont="1" applyFill="1" applyBorder="1" applyAlignment="1">
      <alignment horizontal="left" vertical="center" wrapText="1" indent="1"/>
    </xf>
    <xf numFmtId="10" fontId="41" fillId="10" borderId="51" xfId="0" applyNumberFormat="1" applyFont="1" applyFill="1" applyBorder="1" applyAlignment="1">
      <alignment horizontal="center" vertical="center" wrapText="1"/>
    </xf>
    <xf numFmtId="0" fontId="0" fillId="0" borderId="43" xfId="0" applyBorder="1"/>
    <xf numFmtId="10" fontId="41" fillId="10" borderId="43" xfId="0" applyNumberFormat="1" applyFont="1" applyFill="1" applyBorder="1" applyAlignment="1">
      <alignment horizontal="center" vertical="center" wrapText="1"/>
    </xf>
    <xf numFmtId="10" fontId="6" fillId="4" borderId="46" xfId="1" applyNumberFormat="1" applyFont="1" applyFill="1" applyBorder="1" applyAlignment="1">
      <alignment horizontal="center" vertical="center" wrapText="1"/>
    </xf>
    <xf numFmtId="10" fontId="10" fillId="3" borderId="16" xfId="0" applyNumberFormat="1" applyFont="1" applyFill="1" applyBorder="1" applyAlignment="1">
      <alignment horizontal="center" vertical="center" wrapText="1"/>
    </xf>
    <xf numFmtId="0" fontId="29" fillId="3" borderId="4" xfId="1" applyNumberFormat="1" applyFont="1" applyFill="1" applyBorder="1" applyAlignment="1">
      <alignment horizontal="left" vertical="center" wrapText="1"/>
    </xf>
    <xf numFmtId="0" fontId="0" fillId="3" borderId="52" xfId="1" applyNumberFormat="1" applyFont="1" applyFill="1" applyBorder="1" applyAlignment="1">
      <alignment horizontal="center" vertical="center" wrapText="1"/>
    </xf>
    <xf numFmtId="0" fontId="2" fillId="0" borderId="0" xfId="0" applyFont="1"/>
    <xf numFmtId="0" fontId="7" fillId="3" borderId="29" xfId="1" applyNumberFormat="1" applyFont="1" applyFill="1" applyBorder="1" applyAlignment="1">
      <alignment horizontal="left" vertical="center" wrapText="1"/>
    </xf>
    <xf numFmtId="10" fontId="6" fillId="4" borderId="52" xfId="1" applyNumberFormat="1" applyFont="1" applyFill="1" applyBorder="1" applyAlignment="1">
      <alignment horizontal="center" vertical="center" wrapText="1"/>
    </xf>
    <xf numFmtId="10" fontId="10" fillId="3" borderId="52" xfId="0" applyNumberFormat="1" applyFont="1" applyFill="1" applyBorder="1" applyAlignment="1">
      <alignment horizontal="center" vertical="center" wrapText="1"/>
    </xf>
    <xf numFmtId="0" fontId="21" fillId="3" borderId="53" xfId="1" applyNumberFormat="1" applyFont="1" applyFill="1" applyBorder="1" applyAlignment="1">
      <alignment horizontal="center" vertical="center" wrapText="1"/>
    </xf>
    <xf numFmtId="0" fontId="0" fillId="0" borderId="22" xfId="0" applyBorder="1"/>
    <xf numFmtId="0" fontId="21" fillId="3" borderId="4" xfId="1" applyNumberFormat="1" applyFont="1" applyFill="1" applyBorder="1" applyAlignment="1">
      <alignment horizontal="left" vertical="center" wrapText="1"/>
    </xf>
    <xf numFmtId="0" fontId="7" fillId="3" borderId="52" xfId="1" applyNumberFormat="1" applyFont="1" applyFill="1" applyBorder="1" applyAlignment="1">
      <alignment horizontal="center" vertical="center" wrapText="1"/>
    </xf>
    <xf numFmtId="0" fontId="1" fillId="3" borderId="4" xfId="1" applyNumberFormat="1" applyFill="1" applyBorder="1" applyAlignment="1">
      <alignment horizontal="center" vertical="center" wrapText="1"/>
    </xf>
    <xf numFmtId="10" fontId="6" fillId="4" borderId="54" xfId="1" applyNumberFormat="1" applyFont="1" applyFill="1" applyBorder="1" applyAlignment="1">
      <alignment horizontal="center" vertical="center" wrapText="1"/>
    </xf>
    <xf numFmtId="0" fontId="21" fillId="3" borderId="50" xfId="1" applyNumberFormat="1" applyFont="1" applyFill="1" applyBorder="1" applyAlignment="1">
      <alignment horizontal="left" vertical="center" wrapText="1" indent="1"/>
    </xf>
    <xf numFmtId="0" fontId="9" fillId="6" borderId="2" xfId="0" applyFont="1" applyFill="1" applyBorder="1" applyAlignment="1">
      <alignment horizontal="center" vertical="center" wrapText="1"/>
    </xf>
    <xf numFmtId="165" fontId="6" fillId="4" borderId="12" xfId="1" applyNumberFormat="1" applyFont="1" applyFill="1" applyBorder="1" applyAlignment="1">
      <alignment horizontal="center" vertical="center" wrapText="1"/>
    </xf>
    <xf numFmtId="10" fontId="6" fillId="3" borderId="14" xfId="1" applyNumberFormat="1" applyFont="1" applyFill="1" applyBorder="1" applyAlignment="1">
      <alignment horizontal="center" vertical="center" wrapText="1"/>
    </xf>
    <xf numFmtId="0" fontId="38" fillId="3" borderId="4" xfId="1" applyNumberFormat="1" applyFont="1" applyFill="1" applyBorder="1" applyAlignment="1">
      <alignment horizontal="left" vertical="center" wrapText="1" indent="1"/>
    </xf>
    <xf numFmtId="0" fontId="21" fillId="3" borderId="34" xfId="1" applyNumberFormat="1" applyFont="1" applyFill="1" applyBorder="1" applyAlignment="1">
      <alignment horizontal="left" vertical="center" wrapText="1" indent="1"/>
    </xf>
    <xf numFmtId="0" fontId="12" fillId="3" borderId="55" xfId="1" applyNumberFormat="1" applyFont="1" applyFill="1" applyBorder="1" applyAlignment="1">
      <alignment horizontal="left" vertical="center" wrapText="1"/>
    </xf>
    <xf numFmtId="0" fontId="7" fillId="3" borderId="28" xfId="1" applyNumberFormat="1" applyFont="1" applyFill="1" applyBorder="1" applyAlignment="1">
      <alignment horizontal="left" vertical="center" wrapText="1"/>
    </xf>
    <xf numFmtId="10" fontId="6" fillId="3" borderId="19" xfId="1" applyNumberFormat="1" applyFont="1" applyFill="1" applyBorder="1" applyAlignment="1">
      <alignment horizontal="center" vertical="center" wrapText="1"/>
    </xf>
    <xf numFmtId="0" fontId="31" fillId="3" borderId="4" xfId="1" applyNumberFormat="1" applyFont="1" applyFill="1" applyBorder="1" applyAlignment="1">
      <alignment horizontal="left" vertical="center" wrapText="1" indent="1"/>
    </xf>
    <xf numFmtId="0" fontId="23" fillId="3" borderId="29" xfId="1" applyNumberFormat="1" applyFont="1" applyFill="1" applyBorder="1" applyAlignment="1">
      <alignment horizontal="left" vertical="center" wrapText="1"/>
    </xf>
    <xf numFmtId="0" fontId="21" fillId="3" borderId="28" xfId="1" applyNumberFormat="1" applyFont="1" applyFill="1" applyBorder="1" applyAlignment="1">
      <alignment horizontal="left" vertical="center" wrapText="1"/>
    </xf>
    <xf numFmtId="10" fontId="10" fillId="3" borderId="42" xfId="0" applyNumberFormat="1" applyFont="1" applyFill="1" applyBorder="1" applyAlignment="1">
      <alignment horizontal="center" vertical="center" wrapText="1"/>
    </xf>
    <xf numFmtId="0" fontId="0" fillId="0" borderId="41" xfId="0" applyBorder="1"/>
    <xf numFmtId="0" fontId="0" fillId="0" borderId="42" xfId="0" applyBorder="1"/>
    <xf numFmtId="0" fontId="37" fillId="3" borderId="29" xfId="1" applyNumberFormat="1" applyFont="1" applyFill="1" applyBorder="1" applyAlignment="1">
      <alignment horizontal="left" vertical="center" wrapText="1"/>
    </xf>
    <xf numFmtId="0" fontId="32" fillId="8" borderId="50" xfId="0" applyFont="1" applyFill="1" applyBorder="1" applyAlignment="1">
      <alignment vertical="center" wrapText="1"/>
    </xf>
    <xf numFmtId="10" fontId="3" fillId="4" borderId="12" xfId="1" applyNumberFormat="1" applyFont="1" applyFill="1" applyBorder="1" applyAlignment="1">
      <alignment horizontal="center" vertical="center" wrapText="1"/>
    </xf>
    <xf numFmtId="10" fontId="10" fillId="3" borderId="11" xfId="1" applyNumberFormat="1" applyFont="1" applyFill="1" applyBorder="1" applyAlignment="1">
      <alignment horizontal="center" vertical="center" wrapText="1"/>
    </xf>
    <xf numFmtId="0" fontId="12" fillId="3" borderId="34" xfId="1" applyNumberFormat="1" applyFont="1" applyFill="1" applyBorder="1" applyAlignment="1">
      <alignment horizontal="center" vertical="center" wrapText="1"/>
    </xf>
    <xf numFmtId="10" fontId="10" fillId="3" borderId="6" xfId="1" applyNumberFormat="1" applyFont="1" applyFill="1" applyBorder="1" applyAlignment="1">
      <alignment horizontal="center" vertical="center" wrapText="1"/>
    </xf>
    <xf numFmtId="10" fontId="10" fillId="3" borderId="57" xfId="1" applyNumberFormat="1" applyFont="1" applyFill="1" applyBorder="1" applyAlignment="1">
      <alignment horizontal="center" vertical="center" wrapText="1"/>
    </xf>
    <xf numFmtId="0" fontId="31" fillId="3" borderId="11" xfId="1" applyNumberFormat="1" applyFont="1" applyFill="1" applyBorder="1" applyAlignment="1">
      <alignment horizontal="center" vertical="center" wrapText="1"/>
    </xf>
    <xf numFmtId="0" fontId="0" fillId="0" borderId="56" xfId="0" applyBorder="1"/>
    <xf numFmtId="0" fontId="0" fillId="0" borderId="25" xfId="0" applyBorder="1"/>
    <xf numFmtId="0" fontId="21" fillId="3" borderId="12" xfId="1" applyNumberFormat="1" applyFont="1" applyFill="1" applyBorder="1" applyAlignment="1">
      <alignment horizontal="left" vertical="center" wrapText="1"/>
    </xf>
    <xf numFmtId="0" fontId="31" fillId="9" borderId="30" xfId="0" applyFont="1" applyFill="1" applyBorder="1" applyAlignment="1">
      <alignment horizontal="left" vertical="center" wrapText="1" indent="1"/>
    </xf>
    <xf numFmtId="10" fontId="6" fillId="3" borderId="4" xfId="1" applyNumberFormat="1" applyFont="1" applyFill="1" applyBorder="1" applyAlignment="1">
      <alignment horizontal="center" vertical="center" wrapText="1"/>
    </xf>
    <xf numFmtId="0" fontId="39" fillId="8" borderId="58" xfId="0" applyFont="1" applyFill="1" applyBorder="1" applyAlignment="1">
      <alignment vertical="center" wrapText="1"/>
    </xf>
    <xf numFmtId="0" fontId="0" fillId="0" borderId="40" xfId="0" applyBorder="1"/>
    <xf numFmtId="0" fontId="0" fillId="3" borderId="28" xfId="1" applyNumberFormat="1" applyFont="1" applyFill="1" applyBorder="1" applyAlignment="1">
      <alignment horizontal="center" vertical="center" wrapText="1"/>
    </xf>
    <xf numFmtId="0" fontId="12" fillId="3" borderId="7" xfId="1" applyNumberFormat="1" applyFont="1" applyFill="1" applyBorder="1" applyAlignment="1">
      <alignment horizontal="center" vertical="center" wrapText="1"/>
    </xf>
    <xf numFmtId="0" fontId="11" fillId="6" borderId="1" xfId="0" applyFont="1" applyFill="1" applyBorder="1" applyAlignment="1">
      <alignment horizontal="center" vertical="center" wrapText="1"/>
    </xf>
    <xf numFmtId="0" fontId="6" fillId="5" borderId="1" xfId="0" applyFont="1" applyFill="1" applyBorder="1" applyAlignment="1">
      <alignment horizontal="center" vertical="center" wrapText="1"/>
    </xf>
    <xf numFmtId="0" fontId="12" fillId="3" borderId="4" xfId="1" applyNumberFormat="1" applyFont="1" applyFill="1" applyBorder="1" applyAlignment="1">
      <alignment horizontal="left" vertical="center" wrapText="1"/>
    </xf>
    <xf numFmtId="0" fontId="0" fillId="3" borderId="6" xfId="1" applyNumberFormat="1" applyFont="1" applyFill="1" applyBorder="1" applyAlignment="1">
      <alignment horizontal="center" vertical="center" wrapText="1"/>
    </xf>
    <xf numFmtId="0" fontId="12" fillId="3" borderId="35" xfId="1" applyNumberFormat="1" applyFont="1" applyFill="1" applyBorder="1" applyAlignment="1">
      <alignment horizontal="center" vertical="center" wrapText="1"/>
    </xf>
    <xf numFmtId="10" fontId="10" fillId="3" borderId="4" xfId="1" applyNumberFormat="1" applyFont="1" applyFill="1" applyBorder="1" applyAlignment="1">
      <alignment horizontal="center" vertical="center" indent="1"/>
    </xf>
    <xf numFmtId="0" fontId="27" fillId="9" borderId="35" xfId="0" applyFont="1" applyFill="1" applyBorder="1" applyAlignment="1">
      <alignment horizontal="left" vertical="center" wrapText="1" indent="1"/>
    </xf>
    <xf numFmtId="10" fontId="10" fillId="3" borderId="7" xfId="0" applyNumberFormat="1" applyFont="1" applyFill="1" applyBorder="1" applyAlignment="1">
      <alignment horizontal="center" vertical="center" wrapText="1"/>
    </xf>
    <xf numFmtId="0" fontId="26" fillId="8" borderId="50" xfId="0" applyFont="1" applyFill="1" applyBorder="1" applyAlignment="1">
      <alignment vertical="center" wrapText="1"/>
    </xf>
    <xf numFmtId="0" fontId="9" fillId="0" borderId="3" xfId="0" applyFont="1" applyBorder="1" applyAlignment="1">
      <alignment horizontal="center" vertical="center" wrapText="1"/>
    </xf>
    <xf numFmtId="9" fontId="9" fillId="4" borderId="15" xfId="1" applyFont="1" applyFill="1" applyBorder="1" applyAlignment="1">
      <alignment horizontal="center" vertical="center" wrapText="1"/>
    </xf>
    <xf numFmtId="10" fontId="24" fillId="3" borderId="4" xfId="0" applyNumberFormat="1" applyFont="1" applyFill="1" applyBorder="1" applyAlignment="1">
      <alignment horizontal="center" vertical="center" wrapText="1"/>
    </xf>
    <xf numFmtId="10" fontId="10" fillId="3" borderId="11" xfId="0" applyNumberFormat="1" applyFont="1" applyFill="1" applyBorder="1" applyAlignment="1">
      <alignment horizontal="center" vertical="center" wrapText="1"/>
    </xf>
    <xf numFmtId="0" fontId="9" fillId="6" borderId="3" xfId="0" applyFont="1" applyFill="1" applyBorder="1" applyAlignment="1">
      <alignment horizontal="center" vertical="center" wrapText="1"/>
    </xf>
    <xf numFmtId="10" fontId="10" fillId="3" borderId="12" xfId="0" applyNumberFormat="1" applyFont="1" applyFill="1" applyBorder="1" applyAlignment="1">
      <alignment horizontal="center" vertical="center" wrapText="1"/>
    </xf>
    <xf numFmtId="0" fontId="9" fillId="5" borderId="3" xfId="0" applyFont="1" applyFill="1" applyBorder="1" applyAlignment="1">
      <alignment horizontal="center" vertical="center" wrapText="1"/>
    </xf>
    <xf numFmtId="0" fontId="9" fillId="6" borderId="0" xfId="0" applyFont="1" applyFill="1" applyAlignment="1">
      <alignment horizontal="center" vertical="center" wrapText="1"/>
    </xf>
    <xf numFmtId="0" fontId="21" fillId="3" borderId="15" xfId="1" applyNumberFormat="1" applyFont="1" applyFill="1" applyBorder="1" applyAlignment="1">
      <alignment horizontal="left" vertical="center" wrapText="1"/>
    </xf>
    <xf numFmtId="10" fontId="24" fillId="3" borderId="6" xfId="0" applyNumberFormat="1" applyFont="1" applyFill="1" applyBorder="1" applyAlignment="1">
      <alignment horizontal="center" vertical="center" wrapText="1"/>
    </xf>
    <xf numFmtId="0" fontId="36" fillId="9" borderId="29" xfId="0" applyFont="1" applyFill="1" applyBorder="1" applyAlignment="1">
      <alignment horizontal="left" vertical="center" wrapText="1"/>
    </xf>
    <xf numFmtId="0" fontId="9" fillId="5" borderId="3" xfId="0" applyFont="1" applyFill="1" applyBorder="1" applyAlignment="1">
      <alignment horizontal="center" vertical="center"/>
    </xf>
    <xf numFmtId="9" fontId="23" fillId="0" borderId="3" xfId="0" applyNumberFormat="1" applyFont="1" applyBorder="1" applyAlignment="1">
      <alignment horizontal="center" vertical="center"/>
    </xf>
    <xf numFmtId="0" fontId="25" fillId="3" borderId="6" xfId="1" applyNumberFormat="1" applyFont="1" applyFill="1" applyBorder="1" applyAlignment="1">
      <alignment horizontal="center" vertical="center" wrapText="1"/>
    </xf>
    <xf numFmtId="10" fontId="23" fillId="0" borderId="3" xfId="0" applyNumberFormat="1" applyFont="1" applyBorder="1" applyAlignment="1">
      <alignment horizontal="center" vertical="center"/>
    </xf>
    <xf numFmtId="9" fontId="9" fillId="4" borderId="4" xfId="1" applyFont="1" applyFill="1" applyBorder="1" applyAlignment="1">
      <alignment horizontal="center" vertical="center" wrapText="1"/>
    </xf>
    <xf numFmtId="9" fontId="9" fillId="4" borderId="10" xfId="1" applyFont="1" applyFill="1" applyBorder="1" applyAlignment="1">
      <alignment horizontal="center" vertical="center" wrapText="1"/>
    </xf>
    <xf numFmtId="10" fontId="23" fillId="0" borderId="0" xfId="1" applyNumberFormat="1" applyFont="1" applyAlignment="1">
      <alignment horizontal="center" vertical="center" wrapText="1"/>
    </xf>
    <xf numFmtId="0" fontId="9" fillId="0" borderId="0" xfId="0" applyFont="1" applyAlignment="1">
      <alignment horizontal="center" vertical="center" wrapText="1"/>
    </xf>
    <xf numFmtId="0" fontId="31" fillId="3" borderId="28" xfId="1" applyNumberFormat="1" applyFont="1" applyFill="1" applyBorder="1" applyAlignment="1">
      <alignment horizontal="center" vertical="center" wrapText="1"/>
    </xf>
    <xf numFmtId="9" fontId="9" fillId="4" borderId="7" xfId="1" applyFont="1" applyFill="1" applyBorder="1" applyAlignment="1">
      <alignment horizontal="center" vertical="center" wrapText="1"/>
    </xf>
    <xf numFmtId="10" fontId="10" fillId="3" borderId="49" xfId="0" applyNumberFormat="1" applyFont="1" applyFill="1" applyBorder="1" applyAlignment="1">
      <alignment horizontal="center" vertical="center" wrapText="1"/>
    </xf>
    <xf numFmtId="0" fontId="0" fillId="0" borderId="59" xfId="0" applyBorder="1"/>
    <xf numFmtId="0" fontId="0" fillId="0" borderId="49" xfId="0" applyBorder="1"/>
    <xf numFmtId="10" fontId="10" fillId="3" borderId="15" xfId="0" applyNumberFormat="1" applyFont="1" applyFill="1" applyBorder="1" applyAlignment="1">
      <alignment horizontal="center" vertical="center" wrapText="1"/>
    </xf>
    <xf numFmtId="10" fontId="23" fillId="0" borderId="0" xfId="0" applyNumberFormat="1" applyFont="1" applyAlignment="1">
      <alignment horizontal="center" vertical="center"/>
    </xf>
    <xf numFmtId="9" fontId="9" fillId="4" borderId="6" xfId="1" applyFont="1" applyFill="1" applyBorder="1" applyAlignment="1">
      <alignment horizontal="center" vertical="center" wrapText="1"/>
    </xf>
    <xf numFmtId="10" fontId="23" fillId="0" borderId="3" xfId="1" applyNumberFormat="1" applyFont="1" applyBorder="1" applyAlignment="1">
      <alignment horizontal="center" vertical="center" wrapText="1"/>
    </xf>
    <xf numFmtId="0" fontId="21" fillId="3" borderId="6" xfId="1" applyNumberFormat="1" applyFont="1" applyFill="1" applyBorder="1" applyAlignment="1">
      <alignment horizontal="center" vertical="center" wrapText="1"/>
    </xf>
    <xf numFmtId="9" fontId="9" fillId="4" borderId="12" xfId="1" applyFont="1" applyFill="1" applyBorder="1" applyAlignment="1">
      <alignment horizontal="center" vertical="center" wrapText="1"/>
    </xf>
    <xf numFmtId="9" fontId="9" fillId="0" borderId="3" xfId="0" applyNumberFormat="1" applyFont="1" applyBorder="1" applyAlignment="1">
      <alignment horizontal="center" vertical="center"/>
    </xf>
    <xf numFmtId="9" fontId="9" fillId="4" borderId="37" xfId="1" applyFont="1" applyFill="1" applyBorder="1" applyAlignment="1">
      <alignment horizontal="center" vertical="center" wrapText="1"/>
    </xf>
    <xf numFmtId="9" fontId="9" fillId="0" borderId="0" xfId="0" applyNumberFormat="1" applyFont="1" applyAlignment="1">
      <alignment horizontal="center" vertical="center"/>
    </xf>
    <xf numFmtId="0" fontId="9" fillId="5" borderId="0" xfId="0" applyFont="1" applyFill="1" applyAlignment="1">
      <alignment horizontal="center" vertical="center"/>
    </xf>
    <xf numFmtId="0" fontId="44" fillId="3" borderId="29" xfId="1" applyNumberFormat="1" applyFont="1" applyFill="1" applyBorder="1" applyAlignment="1">
      <alignment horizontal="center" vertical="center" wrapText="1"/>
    </xf>
    <xf numFmtId="0" fontId="7" fillId="3" borderId="4" xfId="1" applyNumberFormat="1" applyFont="1" applyFill="1" applyBorder="1" applyAlignment="1">
      <alignment horizontal="left" vertical="center" wrapText="1" indent="4"/>
    </xf>
    <xf numFmtId="10" fontId="10" fillId="3" borderId="18" xfId="1" applyNumberFormat="1" applyFont="1" applyFill="1" applyBorder="1" applyAlignment="1">
      <alignment horizontal="center" vertical="center" wrapText="1"/>
    </xf>
    <xf numFmtId="0" fontId="25" fillId="3" borderId="28" xfId="1" applyNumberFormat="1" applyFont="1" applyFill="1" applyBorder="1" applyAlignment="1">
      <alignment horizontal="center" vertical="center" wrapText="1"/>
    </xf>
    <xf numFmtId="0" fontId="25" fillId="3" borderId="29" xfId="1" applyNumberFormat="1" applyFont="1" applyFill="1" applyBorder="1" applyAlignment="1">
      <alignment horizontal="left" vertical="center" wrapText="1"/>
    </xf>
    <xf numFmtId="0" fontId="31" fillId="3" borderId="29" xfId="1" applyNumberFormat="1" applyFont="1" applyFill="1" applyBorder="1" applyAlignment="1">
      <alignment vertical="center" wrapText="1"/>
    </xf>
    <xf numFmtId="9" fontId="6" fillId="4" borderId="4" xfId="1" applyFont="1" applyFill="1" applyBorder="1" applyAlignment="1">
      <alignment horizontal="center" vertical="center" wrapText="1"/>
    </xf>
    <xf numFmtId="9" fontId="6" fillId="4" borderId="12" xfId="1" applyFont="1" applyFill="1" applyBorder="1" applyAlignment="1">
      <alignment horizontal="center" vertical="center" wrapText="1"/>
    </xf>
    <xf numFmtId="10" fontId="0" fillId="0" borderId="3" xfId="0" applyNumberFormat="1" applyBorder="1" applyAlignment="1">
      <alignment horizontal="center" vertical="center"/>
    </xf>
    <xf numFmtId="0" fontId="40" fillId="8" borderId="35" xfId="0" applyFont="1" applyFill="1" applyBorder="1" applyAlignment="1">
      <alignment vertical="center" wrapText="1"/>
    </xf>
    <xf numFmtId="10" fontId="41" fillId="10" borderId="48" xfId="0" applyNumberFormat="1" applyFont="1" applyFill="1" applyBorder="1" applyAlignment="1">
      <alignment horizontal="center" vertical="center" wrapText="1"/>
    </xf>
    <xf numFmtId="0" fontId="0" fillId="0" borderId="48" xfId="0" applyBorder="1"/>
    <xf numFmtId="9" fontId="10" fillId="3" borderId="4" xfId="1" applyFont="1" applyFill="1" applyBorder="1" applyAlignment="1">
      <alignment horizontal="center" vertical="center" wrapText="1"/>
    </xf>
    <xf numFmtId="10" fontId="1" fillId="0" borderId="3" xfId="1" applyNumberFormat="1" applyBorder="1" applyAlignment="1">
      <alignment horizontal="center" vertical="center" wrapText="1"/>
    </xf>
    <xf numFmtId="10" fontId="6" fillId="3" borderId="4" xfId="0" applyNumberFormat="1" applyFont="1" applyFill="1" applyBorder="1" applyAlignment="1">
      <alignment horizontal="center" vertical="center" wrapText="1"/>
    </xf>
    <xf numFmtId="10" fontId="42" fillId="8" borderId="27" xfId="0" applyNumberFormat="1" applyFont="1" applyFill="1" applyBorder="1" applyAlignment="1">
      <alignment horizontal="center" vertical="center" wrapText="1"/>
    </xf>
    <xf numFmtId="0" fontId="43" fillId="8" borderId="30" xfId="0" applyFont="1" applyFill="1" applyBorder="1" applyAlignment="1">
      <alignment vertical="center" wrapText="1"/>
    </xf>
    <xf numFmtId="10" fontId="42" fillId="8" borderId="60" xfId="0" applyNumberFormat="1" applyFont="1" applyFill="1" applyBorder="1" applyAlignment="1">
      <alignment horizontal="center" vertical="center" wrapText="1"/>
    </xf>
    <xf numFmtId="0" fontId="0" fillId="0" borderId="47" xfId="0" applyBorder="1"/>
    <xf numFmtId="10" fontId="42" fillId="8" borderId="47" xfId="0" applyNumberFormat="1" applyFont="1" applyFill="1" applyBorder="1" applyAlignment="1">
      <alignment horizontal="center" vertical="center" wrapText="1"/>
    </xf>
    <xf numFmtId="10" fontId="42" fillId="8" borderId="44" xfId="0" applyNumberFormat="1" applyFont="1" applyFill="1" applyBorder="1" applyAlignment="1">
      <alignment horizontal="center" vertical="center" wrapText="1"/>
    </xf>
    <xf numFmtId="0" fontId="0" fillId="0" borderId="45" xfId="0" applyBorder="1"/>
  </cellXfs>
  <cellStyles count="2">
    <cellStyle name="Normal" xfId="0" builtinId="0"/>
    <cellStyle name="Porcentaje" xfId="1" builtinId="5"/>
  </cellStyles>
  <dxfs count="0"/>
  <tableStyles count="1" defaultTableStyle="TableStyleMedium2" defaultPivotStyle="PivotStyleLight16">
    <tableStyle name="Invisible" pivot="0" table="0" count="0" xr9:uid="{00000000-0011-0000-FFFF-FFFF0000000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7" tint="0.39997558519241921"/>
  </sheetPr>
  <dimension ref="A1:B15"/>
  <sheetViews>
    <sheetView tabSelected="1" workbookViewId="0">
      <selection activeCell="C30" sqref="C30"/>
    </sheetView>
  </sheetViews>
  <sheetFormatPr baseColWidth="10" defaultRowHeight="14.4" x14ac:dyDescent="0.3"/>
  <cols>
    <col min="1" max="1" width="28.109375" customWidth="1"/>
    <col min="2" max="2" width="18.109375" customWidth="1"/>
  </cols>
  <sheetData>
    <row r="1" spans="1:2" x14ac:dyDescent="0.3">
      <c r="A1" s="327" t="s">
        <v>103</v>
      </c>
      <c r="B1" s="327" t="s">
        <v>104</v>
      </c>
    </row>
    <row r="2" spans="1:2" x14ac:dyDescent="0.3">
      <c r="A2" s="327" t="s">
        <v>105</v>
      </c>
      <c r="B2" s="327" t="s">
        <v>106</v>
      </c>
    </row>
    <row r="3" spans="1:2" x14ac:dyDescent="0.3">
      <c r="A3" s="327" t="s">
        <v>107</v>
      </c>
      <c r="B3" s="327" t="s">
        <v>106</v>
      </c>
    </row>
    <row r="4" spans="1:2" x14ac:dyDescent="0.3">
      <c r="A4" s="327" t="s">
        <v>108</v>
      </c>
      <c r="B4" s="327" t="s">
        <v>106</v>
      </c>
    </row>
    <row r="5" spans="1:2" x14ac:dyDescent="0.3">
      <c r="A5" s="327" t="s">
        <v>109</v>
      </c>
      <c r="B5" s="327" t="s">
        <v>106</v>
      </c>
    </row>
    <row r="6" spans="1:2" x14ac:dyDescent="0.3">
      <c r="A6" s="327" t="s">
        <v>110</v>
      </c>
      <c r="B6" s="327" t="s">
        <v>106</v>
      </c>
    </row>
    <row r="7" spans="1:2" x14ac:dyDescent="0.3">
      <c r="A7" s="327" t="s">
        <v>111</v>
      </c>
      <c r="B7" s="327" t="s">
        <v>106</v>
      </c>
    </row>
    <row r="8" spans="1:2" x14ac:dyDescent="0.3">
      <c r="A8" s="327" t="s">
        <v>112</v>
      </c>
      <c r="B8" s="327" t="s">
        <v>113</v>
      </c>
    </row>
    <row r="9" spans="1:2" x14ac:dyDescent="0.3">
      <c r="A9" s="327" t="s">
        <v>114</v>
      </c>
      <c r="B9" s="327" t="s">
        <v>113</v>
      </c>
    </row>
    <row r="10" spans="1:2" x14ac:dyDescent="0.3">
      <c r="A10" s="327" t="s">
        <v>115</v>
      </c>
      <c r="B10" s="327" t="s">
        <v>113</v>
      </c>
    </row>
    <row r="11" spans="1:2" ht="13.8" customHeight="1" x14ac:dyDescent="0.3">
      <c r="A11" s="327" t="s">
        <v>116</v>
      </c>
      <c r="B11" s="327" t="s">
        <v>117</v>
      </c>
    </row>
    <row r="12" spans="1:2" x14ac:dyDescent="0.3">
      <c r="A12" s="327" t="s">
        <v>118</v>
      </c>
      <c r="B12" s="327" t="s">
        <v>117</v>
      </c>
    </row>
    <row r="13" spans="1:2" x14ac:dyDescent="0.3">
      <c r="A13" s="327" t="s">
        <v>119</v>
      </c>
      <c r="B13" s="327" t="s">
        <v>117</v>
      </c>
    </row>
    <row r="14" spans="1:2" x14ac:dyDescent="0.3">
      <c r="A14" s="327" t="s">
        <v>120</v>
      </c>
      <c r="B14" s="327" t="s">
        <v>117</v>
      </c>
    </row>
    <row r="15" spans="1:2" x14ac:dyDescent="0.3">
      <c r="A15" s="327" t="s">
        <v>121</v>
      </c>
      <c r="B15" s="327" t="s">
        <v>106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5">
    <tabColor theme="7" tint="0.39997558519241921"/>
  </sheetPr>
  <dimension ref="A1:AD20"/>
  <sheetViews>
    <sheetView zoomScale="50" zoomScaleNormal="50" zoomScaleSheetLayoutView="70" zoomScalePageLayoutView="40" workbookViewId="0">
      <selection activeCell="F9" sqref="F9"/>
    </sheetView>
  </sheetViews>
  <sheetFormatPr baseColWidth="10" defaultColWidth="11.44140625" defaultRowHeight="15.6" x14ac:dyDescent="0.3"/>
  <cols>
    <col min="1" max="1" width="20.6640625" style="97" customWidth="1"/>
    <col min="2" max="2" width="9.109375" style="66" customWidth="1"/>
    <col min="3" max="3" width="19.6640625" style="88" customWidth="1"/>
    <col min="4" max="4" width="11.88671875" style="66" customWidth="1"/>
    <col min="5" max="5" width="40.6640625" style="98" customWidth="1"/>
    <col min="6" max="6" width="12.6640625" style="66" customWidth="1"/>
    <col min="7" max="7" width="51.109375" style="66" customWidth="1"/>
    <col min="8" max="8" width="13.6640625" style="143" customWidth="1"/>
    <col min="9" max="9" width="16.6640625" style="99" customWidth="1"/>
    <col min="10" max="10" width="16.6640625" style="98" customWidth="1"/>
    <col min="11" max="11" width="71.33203125" style="66" customWidth="1"/>
    <col min="12" max="14" width="21.33203125" style="140" customWidth="1"/>
    <col min="15" max="16" width="21.33203125" customWidth="1"/>
    <col min="17" max="17" width="104.88671875" style="66" customWidth="1"/>
    <col min="18" max="21" width="15.6640625" customWidth="1"/>
    <col min="22" max="22" width="21.88671875" customWidth="1"/>
    <col min="23" max="23" width="87.109375" customWidth="1"/>
    <col min="24" max="28" width="15.5546875" style="140" customWidth="1"/>
    <col min="29" max="29" width="85.6640625" customWidth="1"/>
    <col min="30" max="30" width="38.109375" customWidth="1"/>
  </cols>
  <sheetData>
    <row r="1" spans="1:30" s="63" customFormat="1" ht="118.2" customHeight="1" thickTop="1" thickBot="1" x14ac:dyDescent="0.35">
      <c r="A1" s="153" t="s">
        <v>0</v>
      </c>
      <c r="B1" s="153" t="s">
        <v>1</v>
      </c>
      <c r="C1" s="153" t="s">
        <v>2</v>
      </c>
      <c r="D1" s="153" t="s">
        <v>3</v>
      </c>
      <c r="E1" s="153" t="s">
        <v>4</v>
      </c>
      <c r="F1" s="153" t="s">
        <v>5</v>
      </c>
      <c r="G1" s="153" t="s">
        <v>6</v>
      </c>
      <c r="H1" s="153" t="s">
        <v>7</v>
      </c>
      <c r="I1" s="153" t="s">
        <v>8</v>
      </c>
      <c r="J1" s="153" t="s">
        <v>9</v>
      </c>
      <c r="K1" s="160" t="s">
        <v>10</v>
      </c>
      <c r="L1" s="153" t="s">
        <v>11</v>
      </c>
      <c r="M1" s="153" t="s">
        <v>12</v>
      </c>
      <c r="N1" s="153" t="s">
        <v>13</v>
      </c>
      <c r="O1" s="153" t="s">
        <v>14</v>
      </c>
      <c r="P1" s="153" t="s">
        <v>15</v>
      </c>
      <c r="Q1" s="160" t="s">
        <v>16</v>
      </c>
      <c r="R1" s="153" t="s">
        <v>17</v>
      </c>
      <c r="S1" s="153" t="s">
        <v>18</v>
      </c>
      <c r="T1" s="153" t="s">
        <v>19</v>
      </c>
      <c r="U1" s="153" t="s">
        <v>20</v>
      </c>
      <c r="V1" s="153" t="s">
        <v>21</v>
      </c>
      <c r="W1" s="160" t="s">
        <v>22</v>
      </c>
      <c r="X1" s="153" t="s">
        <v>23</v>
      </c>
      <c r="Y1" s="153" t="s">
        <v>24</v>
      </c>
      <c r="Z1" s="153" t="s">
        <v>25</v>
      </c>
      <c r="AA1" s="153" t="s">
        <v>26</v>
      </c>
      <c r="AB1" s="153" t="s">
        <v>27</v>
      </c>
      <c r="AC1" s="160" t="s">
        <v>28</v>
      </c>
      <c r="AD1" s="28" t="s">
        <v>29</v>
      </c>
    </row>
    <row r="2" spans="1:30" ht="18.600000000000001" customHeight="1" thickTop="1" thickBot="1" x14ac:dyDescent="0.35">
      <c r="A2" s="329" t="s">
        <v>30</v>
      </c>
      <c r="B2" s="342">
        <v>0.2</v>
      </c>
      <c r="C2" s="339" t="s">
        <v>31</v>
      </c>
      <c r="D2" s="357">
        <v>0.1</v>
      </c>
      <c r="E2" s="340" t="s">
        <v>32</v>
      </c>
      <c r="F2" s="344">
        <f>$B$2/4</f>
        <v>0.05</v>
      </c>
      <c r="G2" s="67" t="s">
        <v>33</v>
      </c>
      <c r="H2" s="141">
        <v>1</v>
      </c>
      <c r="I2" s="335">
        <v>0.95</v>
      </c>
      <c r="J2" s="331">
        <f>I2*$F$2</f>
        <v>4.7500000000000001E-2</v>
      </c>
      <c r="K2" s="356" t="s">
        <v>122</v>
      </c>
      <c r="L2" s="335">
        <v>1</v>
      </c>
      <c r="M2" s="331">
        <f>L2*$F$2</f>
        <v>0.05</v>
      </c>
      <c r="N2" s="335">
        <v>1</v>
      </c>
      <c r="O2" s="331">
        <f>N2*$F$2</f>
        <v>0.05</v>
      </c>
      <c r="P2" s="331">
        <f>AVERAGE(M2,O2)</f>
        <v>0.05</v>
      </c>
      <c r="Q2" s="356" t="s">
        <v>123</v>
      </c>
      <c r="R2" s="335">
        <v>1</v>
      </c>
      <c r="S2" s="331">
        <f>R2*$F$2</f>
        <v>0.05</v>
      </c>
      <c r="T2" s="335">
        <v>1</v>
      </c>
      <c r="U2" s="331">
        <f>T2*$F$2</f>
        <v>0.05</v>
      </c>
      <c r="V2" s="333">
        <f>AVERAGE(S2,U2)</f>
        <v>0.05</v>
      </c>
      <c r="W2" s="382" t="s">
        <v>123</v>
      </c>
      <c r="X2" s="351">
        <v>1</v>
      </c>
      <c r="Y2" s="358">
        <f>X2*$F$2</f>
        <v>0.05</v>
      </c>
      <c r="Z2" s="349">
        <v>1</v>
      </c>
      <c r="AA2" s="358">
        <f>Z2*$F$2</f>
        <v>0.05</v>
      </c>
      <c r="AB2" s="350">
        <f>AVERAGE(Y2,AA2)</f>
        <v>0.05</v>
      </c>
      <c r="AC2" s="360" t="s">
        <v>123</v>
      </c>
      <c r="AD2" s="340" t="s">
        <v>38</v>
      </c>
    </row>
    <row r="3" spans="1:30" ht="18.600000000000001" customHeight="1" thickTop="1" thickBot="1" x14ac:dyDescent="0.35">
      <c r="A3" s="330"/>
      <c r="B3" s="343"/>
      <c r="C3" s="338"/>
      <c r="D3" s="343"/>
      <c r="E3" s="355"/>
      <c r="F3" s="343"/>
      <c r="G3" s="67" t="s">
        <v>39</v>
      </c>
      <c r="H3" s="142">
        <v>0.8</v>
      </c>
      <c r="I3" s="336"/>
      <c r="J3" s="336"/>
      <c r="K3" s="336"/>
      <c r="L3" s="336"/>
      <c r="M3" s="336"/>
      <c r="N3" s="336"/>
      <c r="O3" s="336"/>
      <c r="P3" s="336"/>
      <c r="Q3" s="336"/>
      <c r="R3" s="336"/>
      <c r="S3" s="336"/>
      <c r="T3" s="336"/>
      <c r="U3" s="336"/>
      <c r="V3" s="347"/>
      <c r="W3" s="361"/>
      <c r="X3" s="352"/>
      <c r="Y3" s="336"/>
      <c r="Z3" s="336"/>
      <c r="AA3" s="336"/>
      <c r="AB3" s="347"/>
      <c r="AC3" s="361"/>
      <c r="AD3" s="341"/>
    </row>
    <row r="4" spans="1:30" ht="18.600000000000001" customHeight="1" thickTop="1" thickBot="1" x14ac:dyDescent="0.35">
      <c r="A4" s="330"/>
      <c r="B4" s="343"/>
      <c r="C4" s="338"/>
      <c r="D4" s="343"/>
      <c r="E4" s="355"/>
      <c r="F4" s="343"/>
      <c r="G4" s="67" t="s">
        <v>40</v>
      </c>
      <c r="H4" s="77">
        <v>0</v>
      </c>
      <c r="I4" s="332"/>
      <c r="J4" s="332"/>
      <c r="K4" s="332"/>
      <c r="L4" s="332"/>
      <c r="M4" s="332"/>
      <c r="N4" s="332"/>
      <c r="O4" s="332"/>
      <c r="P4" s="332"/>
      <c r="Q4" s="332"/>
      <c r="R4" s="332"/>
      <c r="S4" s="332"/>
      <c r="T4" s="332"/>
      <c r="U4" s="332"/>
      <c r="V4" s="334"/>
      <c r="W4" s="362"/>
      <c r="X4" s="354"/>
      <c r="Y4" s="332"/>
      <c r="Z4" s="332"/>
      <c r="AA4" s="332"/>
      <c r="AB4" s="334"/>
      <c r="AC4" s="362"/>
      <c r="AD4" s="341"/>
    </row>
    <row r="5" spans="1:30" ht="48.6" customHeight="1" thickTop="1" thickBot="1" x14ac:dyDescent="0.35">
      <c r="A5" s="330"/>
      <c r="B5" s="343"/>
      <c r="C5" s="338"/>
      <c r="D5" s="343"/>
      <c r="E5" s="12" t="s">
        <v>41</v>
      </c>
      <c r="F5" s="74">
        <f>$B$2/4</f>
        <v>0.05</v>
      </c>
      <c r="G5" s="40" t="s">
        <v>42</v>
      </c>
      <c r="H5" s="77" t="s">
        <v>43</v>
      </c>
      <c r="I5" s="69">
        <v>1</v>
      </c>
      <c r="J5" s="70">
        <f>I5*$F$5</f>
        <v>0.05</v>
      </c>
      <c r="K5" s="71" t="s">
        <v>124</v>
      </c>
      <c r="L5" s="69">
        <v>1</v>
      </c>
      <c r="M5" s="70">
        <f>L5*$F$5</f>
        <v>0.05</v>
      </c>
      <c r="N5" s="69">
        <v>1</v>
      </c>
      <c r="O5" s="70">
        <f>N5*$F$5</f>
        <v>0.05</v>
      </c>
      <c r="P5" s="70">
        <f>AVERAGE(M5,O5)</f>
        <v>0.05</v>
      </c>
      <c r="Q5" s="71" t="s">
        <v>123</v>
      </c>
      <c r="R5" s="69">
        <v>1</v>
      </c>
      <c r="S5" s="70">
        <f>R5*$F$5</f>
        <v>0.05</v>
      </c>
      <c r="T5" s="69">
        <v>1</v>
      </c>
      <c r="U5" s="70">
        <f>T5*$F$5</f>
        <v>0.05</v>
      </c>
      <c r="V5" s="164">
        <f>AVERAGE(S5,U5)</f>
        <v>0.05</v>
      </c>
      <c r="W5" s="239" t="s">
        <v>125</v>
      </c>
      <c r="X5" s="201">
        <v>1</v>
      </c>
      <c r="Y5" s="48">
        <f>X5*$F$5</f>
        <v>0.05</v>
      </c>
      <c r="Z5" s="43">
        <v>1</v>
      </c>
      <c r="AA5" s="48">
        <f>Z5*$F$5</f>
        <v>0.05</v>
      </c>
      <c r="AB5" s="165">
        <f>AVERAGE(Y5,AA5)</f>
        <v>0.05</v>
      </c>
      <c r="AC5" s="231" t="s">
        <v>125</v>
      </c>
      <c r="AD5" s="12" t="s">
        <v>38</v>
      </c>
    </row>
    <row r="6" spans="1:30" ht="18.600000000000001" customHeight="1" thickTop="1" thickBot="1" x14ac:dyDescent="0.35">
      <c r="A6" s="330"/>
      <c r="B6" s="343"/>
      <c r="C6" s="339" t="s">
        <v>46</v>
      </c>
      <c r="D6" s="357">
        <v>0.1</v>
      </c>
      <c r="E6" s="340" t="s">
        <v>32</v>
      </c>
      <c r="F6" s="344">
        <f>$B$2/4</f>
        <v>0.05</v>
      </c>
      <c r="G6" s="67" t="s">
        <v>33</v>
      </c>
      <c r="H6" s="141">
        <v>1</v>
      </c>
      <c r="I6" s="335">
        <v>1</v>
      </c>
      <c r="J6" s="331">
        <f>I6*$F$6</f>
        <v>0.05</v>
      </c>
      <c r="K6" s="369" t="s">
        <v>126</v>
      </c>
      <c r="L6" s="335">
        <v>1</v>
      </c>
      <c r="M6" s="331">
        <f>L6*$F$6</f>
        <v>0.05</v>
      </c>
      <c r="N6" s="335">
        <v>1</v>
      </c>
      <c r="O6" s="331">
        <f>N6*$F$6</f>
        <v>0.05</v>
      </c>
      <c r="P6" s="331">
        <f>AVERAGE(M6,O6)</f>
        <v>0.05</v>
      </c>
      <c r="Q6" s="384" t="s">
        <v>127</v>
      </c>
      <c r="R6" s="335">
        <v>1</v>
      </c>
      <c r="S6" s="331">
        <f>R6*$F$6</f>
        <v>0.05</v>
      </c>
      <c r="T6" s="335">
        <v>1</v>
      </c>
      <c r="U6" s="331">
        <f>T6*$F$6</f>
        <v>0.05</v>
      </c>
      <c r="V6" s="333">
        <f>AVERAGE(S6,U6)</f>
        <v>0.05</v>
      </c>
      <c r="W6" s="383" t="s">
        <v>127</v>
      </c>
      <c r="X6" s="366">
        <v>1</v>
      </c>
      <c r="Y6" s="368">
        <f>X6*$F$6</f>
        <v>0.05</v>
      </c>
      <c r="Z6" s="359">
        <v>1</v>
      </c>
      <c r="AA6" s="368">
        <f>Z6*$F$6</f>
        <v>0.05</v>
      </c>
      <c r="AB6" s="386">
        <f>AVERAGE(Y6,AA6)</f>
        <v>0.05</v>
      </c>
      <c r="AC6" s="385" t="s">
        <v>127</v>
      </c>
      <c r="AD6" s="340" t="s">
        <v>38</v>
      </c>
    </row>
    <row r="7" spans="1:30" ht="18.600000000000001" customHeight="1" thickTop="1" thickBot="1" x14ac:dyDescent="0.35">
      <c r="A7" s="330"/>
      <c r="B7" s="343"/>
      <c r="C7" s="338"/>
      <c r="D7" s="343"/>
      <c r="E7" s="355"/>
      <c r="F7" s="343"/>
      <c r="G7" s="67" t="s">
        <v>39</v>
      </c>
      <c r="H7" s="142">
        <v>0.8</v>
      </c>
      <c r="I7" s="336"/>
      <c r="J7" s="336"/>
      <c r="K7" s="336"/>
      <c r="L7" s="336"/>
      <c r="M7" s="336"/>
      <c r="N7" s="336"/>
      <c r="O7" s="336"/>
      <c r="P7" s="336"/>
      <c r="Q7" s="336"/>
      <c r="R7" s="336"/>
      <c r="S7" s="336"/>
      <c r="T7" s="336"/>
      <c r="U7" s="336"/>
      <c r="V7" s="347"/>
      <c r="W7" s="361"/>
      <c r="X7" s="352"/>
      <c r="Y7" s="336"/>
      <c r="Z7" s="336"/>
      <c r="AA7" s="336"/>
      <c r="AB7" s="347"/>
      <c r="AC7" s="361"/>
      <c r="AD7" s="341"/>
    </row>
    <row r="8" spans="1:30" ht="57.6" customHeight="1" thickTop="1" thickBot="1" x14ac:dyDescent="0.35">
      <c r="A8" s="330"/>
      <c r="B8" s="343"/>
      <c r="C8" s="338"/>
      <c r="D8" s="343"/>
      <c r="E8" s="355"/>
      <c r="F8" s="343"/>
      <c r="G8" s="67" t="s">
        <v>40</v>
      </c>
      <c r="H8" s="77">
        <v>0.5</v>
      </c>
      <c r="I8" s="332"/>
      <c r="J8" s="332"/>
      <c r="K8" s="332"/>
      <c r="L8" s="332"/>
      <c r="M8" s="332"/>
      <c r="N8" s="332"/>
      <c r="O8" s="332"/>
      <c r="P8" s="332"/>
      <c r="Q8" s="336"/>
      <c r="R8" s="332"/>
      <c r="S8" s="332"/>
      <c r="T8" s="332"/>
      <c r="U8" s="332"/>
      <c r="V8" s="334"/>
      <c r="W8" s="362"/>
      <c r="X8" s="354"/>
      <c r="Y8" s="332"/>
      <c r="Z8" s="332"/>
      <c r="AA8" s="332"/>
      <c r="AB8" s="334"/>
      <c r="AC8" s="361"/>
      <c r="AD8" s="341"/>
    </row>
    <row r="9" spans="1:30" ht="105.75" customHeight="1" thickTop="1" thickBot="1" x14ac:dyDescent="0.35">
      <c r="A9" s="330"/>
      <c r="B9" s="343"/>
      <c r="C9" s="338"/>
      <c r="D9" s="343"/>
      <c r="E9" s="12" t="s">
        <v>41</v>
      </c>
      <c r="F9" s="74">
        <f>$B$2/4</f>
        <v>0.05</v>
      </c>
      <c r="G9" s="40" t="s">
        <v>42</v>
      </c>
      <c r="H9" s="77" t="s">
        <v>43</v>
      </c>
      <c r="I9" s="69">
        <v>1</v>
      </c>
      <c r="J9" s="70">
        <f>I9*$F$9</f>
        <v>0.05</v>
      </c>
      <c r="K9" s="78" t="s">
        <v>128</v>
      </c>
      <c r="L9" s="69">
        <v>1</v>
      </c>
      <c r="M9" s="70">
        <f>L9*$F$9</f>
        <v>0.05</v>
      </c>
      <c r="N9" s="69">
        <v>1</v>
      </c>
      <c r="O9" s="70">
        <f>N9*$F$9</f>
        <v>0.05</v>
      </c>
      <c r="P9" s="70">
        <f t="shared" ref="P9:P16" si="0">AVERAGE(M9,O9)</f>
        <v>0.05</v>
      </c>
      <c r="Q9" s="167" t="s">
        <v>129</v>
      </c>
      <c r="R9" s="69">
        <v>0.9</v>
      </c>
      <c r="S9" s="70">
        <f>R9*$F$9</f>
        <v>4.5000000000000005E-2</v>
      </c>
      <c r="T9" s="69">
        <v>0.9</v>
      </c>
      <c r="U9" s="70">
        <f>T9*$F$9</f>
        <v>4.5000000000000005E-2</v>
      </c>
      <c r="V9" s="164">
        <f>AVERAGE(S9,U9)</f>
        <v>4.5000000000000005E-2</v>
      </c>
      <c r="W9" s="295" t="s">
        <v>130</v>
      </c>
      <c r="X9" s="201">
        <v>1</v>
      </c>
      <c r="Y9" s="48">
        <f>X9*$F$9</f>
        <v>0.05</v>
      </c>
      <c r="Z9" s="43">
        <v>1</v>
      </c>
      <c r="AA9" s="48">
        <f>Z9*$F$9</f>
        <v>0.05</v>
      </c>
      <c r="AB9" s="165">
        <f>AVERAGE(Y9,AA9)</f>
        <v>0.05</v>
      </c>
      <c r="AC9" s="240" t="s">
        <v>131</v>
      </c>
      <c r="AD9" s="12" t="s">
        <v>38</v>
      </c>
    </row>
    <row r="10" spans="1:30" ht="114" customHeight="1" thickTop="1" thickBot="1" x14ac:dyDescent="0.35">
      <c r="A10" s="329" t="s">
        <v>55</v>
      </c>
      <c r="B10" s="342">
        <v>0.25</v>
      </c>
      <c r="C10" s="79" t="s">
        <v>31</v>
      </c>
      <c r="D10" s="80">
        <v>6.6666666666666666E-2</v>
      </c>
      <c r="E10" s="10" t="s">
        <v>56</v>
      </c>
      <c r="F10" s="80">
        <f>(20%/3)</f>
        <v>6.6666666666666666E-2</v>
      </c>
      <c r="G10" s="81" t="s">
        <v>57</v>
      </c>
      <c r="H10" s="82" t="s">
        <v>43</v>
      </c>
      <c r="I10" s="69">
        <v>0.95</v>
      </c>
      <c r="J10" s="70">
        <f>I10*$F$10</f>
        <v>6.3333333333333325E-2</v>
      </c>
      <c r="K10" s="71" t="s">
        <v>132</v>
      </c>
      <c r="L10" s="69">
        <v>1</v>
      </c>
      <c r="M10" s="70">
        <f>L10*$F$10</f>
        <v>6.6666666666666666E-2</v>
      </c>
      <c r="N10" s="69">
        <v>1</v>
      </c>
      <c r="O10" s="70">
        <f>N10*$F$10</f>
        <v>6.6666666666666666E-2</v>
      </c>
      <c r="P10" s="70">
        <f t="shared" si="0"/>
        <v>6.6666666666666666E-2</v>
      </c>
      <c r="Q10" s="78" t="s">
        <v>133</v>
      </c>
      <c r="R10" s="69">
        <v>1</v>
      </c>
      <c r="S10" s="70">
        <f>R10*$F$10</f>
        <v>6.6666666666666666E-2</v>
      </c>
      <c r="T10" s="69">
        <v>1</v>
      </c>
      <c r="U10" s="70">
        <f>T10*$F$10</f>
        <v>6.6666666666666666E-2</v>
      </c>
      <c r="V10" s="164">
        <f>AVERAGE(S10,U10)</f>
        <v>6.6666666666666666E-2</v>
      </c>
      <c r="W10" s="241" t="s">
        <v>134</v>
      </c>
      <c r="X10" s="201">
        <v>1</v>
      </c>
      <c r="Y10" s="48">
        <f>X10*$F$10</f>
        <v>6.6666666666666666E-2</v>
      </c>
      <c r="Z10" s="43">
        <v>1</v>
      </c>
      <c r="AA10" s="48">
        <f>Z10*$F$10</f>
        <v>6.6666666666666666E-2</v>
      </c>
      <c r="AB10" s="165">
        <f>AVERAGE(Y10,AA10)</f>
        <v>6.6666666666666666E-2</v>
      </c>
      <c r="AC10" s="243" t="s">
        <v>134</v>
      </c>
      <c r="AD10" s="10" t="s">
        <v>38</v>
      </c>
    </row>
    <row r="11" spans="1:30" ht="70.2" customHeight="1" thickTop="1" thickBot="1" x14ac:dyDescent="0.35">
      <c r="A11" s="330"/>
      <c r="B11" s="343"/>
      <c r="C11" s="79" t="s">
        <v>135</v>
      </c>
      <c r="D11" s="80">
        <v>6.6666666666666666E-2</v>
      </c>
      <c r="E11" s="10" t="s">
        <v>136</v>
      </c>
      <c r="F11" s="80">
        <f>(20%/3)</f>
        <v>6.6666666666666666E-2</v>
      </c>
      <c r="G11" s="81" t="s">
        <v>137</v>
      </c>
      <c r="H11" s="82" t="s">
        <v>43</v>
      </c>
      <c r="I11" s="69">
        <v>0.63</v>
      </c>
      <c r="J11" s="70">
        <f>I11*$F$11</f>
        <v>4.2000000000000003E-2</v>
      </c>
      <c r="K11" s="71" t="s">
        <v>138</v>
      </c>
      <c r="L11" s="69">
        <v>0.89</v>
      </c>
      <c r="M11" s="70">
        <f>L11*$F$11</f>
        <v>5.9333333333333335E-2</v>
      </c>
      <c r="N11" s="69">
        <v>0.89</v>
      </c>
      <c r="O11" s="70">
        <f>N11*$F$11</f>
        <v>5.9333333333333335E-2</v>
      </c>
      <c r="P11" s="70">
        <f t="shared" si="0"/>
        <v>5.9333333333333335E-2</v>
      </c>
      <c r="Q11" s="78" t="s">
        <v>139</v>
      </c>
      <c r="R11" s="363">
        <v>0.89</v>
      </c>
      <c r="S11" s="364"/>
      <c r="T11" s="364"/>
      <c r="U11" s="365"/>
      <c r="V11" s="164">
        <f>R11*D11</f>
        <v>5.9333333333333335E-2</v>
      </c>
      <c r="W11" s="241" t="s">
        <v>140</v>
      </c>
      <c r="X11" s="366">
        <v>0.75</v>
      </c>
      <c r="Y11" s="364"/>
      <c r="Z11" s="364"/>
      <c r="AA11" s="365"/>
      <c r="AB11" s="165">
        <f>X11*D11</f>
        <v>0.05</v>
      </c>
      <c r="AC11" s="241" t="s">
        <v>141</v>
      </c>
      <c r="AD11" s="10" t="s">
        <v>82</v>
      </c>
    </row>
    <row r="12" spans="1:30" ht="72" customHeight="1" thickTop="1" thickBot="1" x14ac:dyDescent="0.35">
      <c r="A12" s="330"/>
      <c r="B12" s="343"/>
      <c r="C12" s="83" t="s">
        <v>142</v>
      </c>
      <c r="D12" s="76">
        <v>6.6666666666666666E-2</v>
      </c>
      <c r="E12" s="12" t="s">
        <v>143</v>
      </c>
      <c r="F12" s="80">
        <f>(20%/3)</f>
        <v>6.6666666666666666E-2</v>
      </c>
      <c r="G12" s="84" t="s">
        <v>144</v>
      </c>
      <c r="H12" s="85" t="s">
        <v>43</v>
      </c>
      <c r="I12" s="69">
        <v>1</v>
      </c>
      <c r="J12" s="70">
        <f>I12*$F$12</f>
        <v>6.6666666666666666E-2</v>
      </c>
      <c r="K12" s="78" t="s">
        <v>145</v>
      </c>
      <c r="L12" s="69">
        <v>1</v>
      </c>
      <c r="M12" s="70">
        <f>L12*$F$12</f>
        <v>6.6666666666666666E-2</v>
      </c>
      <c r="N12" s="69">
        <v>1</v>
      </c>
      <c r="O12" s="70">
        <f>N12*$F$12</f>
        <v>6.6666666666666666E-2</v>
      </c>
      <c r="P12" s="70">
        <f t="shared" si="0"/>
        <v>6.6666666666666666E-2</v>
      </c>
      <c r="Q12" s="78" t="s">
        <v>146</v>
      </c>
      <c r="R12" s="69">
        <v>1</v>
      </c>
      <c r="S12" s="70">
        <f>R12*$F$12</f>
        <v>6.6666666666666666E-2</v>
      </c>
      <c r="T12" s="69">
        <v>1</v>
      </c>
      <c r="U12" s="70">
        <f>T12*$F$12</f>
        <v>6.6666666666666666E-2</v>
      </c>
      <c r="V12" s="164">
        <f>AVERAGE(S12,U12)</f>
        <v>6.6666666666666666E-2</v>
      </c>
      <c r="W12" s="241" t="s">
        <v>146</v>
      </c>
      <c r="X12" s="201">
        <v>1</v>
      </c>
      <c r="Y12" s="200">
        <f>X12*F12</f>
        <v>6.6666666666666666E-2</v>
      </c>
      <c r="Z12" s="43">
        <v>1</v>
      </c>
      <c r="AA12" s="200">
        <f>Z12*F12</f>
        <v>6.6666666666666666E-2</v>
      </c>
      <c r="AB12" s="161">
        <f>AVERAGE(Y12,AA12)</f>
        <v>6.6666666666666666E-2</v>
      </c>
      <c r="AC12" s="241" t="s">
        <v>146</v>
      </c>
      <c r="AD12" s="10" t="s">
        <v>38</v>
      </c>
    </row>
    <row r="13" spans="1:30" ht="140.25" customHeight="1" thickTop="1" thickBot="1" x14ac:dyDescent="0.35">
      <c r="A13" s="330"/>
      <c r="B13" s="343"/>
      <c r="C13" s="79" t="s">
        <v>60</v>
      </c>
      <c r="D13" s="80">
        <v>0.03</v>
      </c>
      <c r="E13" s="10" t="s">
        <v>61</v>
      </c>
      <c r="F13" s="80">
        <v>0.03</v>
      </c>
      <c r="G13" s="81" t="s">
        <v>62</v>
      </c>
      <c r="H13" s="82" t="s">
        <v>43</v>
      </c>
      <c r="I13" s="69">
        <v>1</v>
      </c>
      <c r="J13" s="70">
        <f>I13*$F$13</f>
        <v>0.03</v>
      </c>
      <c r="K13" s="71" t="s">
        <v>147</v>
      </c>
      <c r="L13" s="69">
        <v>1</v>
      </c>
      <c r="M13" s="70">
        <f>L13*$F$13</f>
        <v>0.03</v>
      </c>
      <c r="N13" s="69">
        <v>1</v>
      </c>
      <c r="O13" s="70">
        <f>N13*$F$13</f>
        <v>0.03</v>
      </c>
      <c r="P13" s="70">
        <f t="shared" si="0"/>
        <v>0.03</v>
      </c>
      <c r="Q13" s="270" t="s">
        <v>148</v>
      </c>
      <c r="R13" s="69">
        <v>1</v>
      </c>
      <c r="S13" s="70">
        <f>R13*$F$13</f>
        <v>0.03</v>
      </c>
      <c r="T13" s="69">
        <v>1</v>
      </c>
      <c r="U13" s="70">
        <f>T13*$F$13</f>
        <v>0.03</v>
      </c>
      <c r="V13" s="164">
        <f>AVERAGE(S13,U13)</f>
        <v>0.03</v>
      </c>
      <c r="W13" s="230" t="s">
        <v>65</v>
      </c>
      <c r="X13" s="182">
        <v>1</v>
      </c>
      <c r="Y13" s="147">
        <f>X13*$F$13</f>
        <v>0.03</v>
      </c>
      <c r="Z13" s="151">
        <v>1</v>
      </c>
      <c r="AA13" s="147">
        <f>Z13*$F$13</f>
        <v>0.03</v>
      </c>
      <c r="AB13" s="161">
        <f>AVERAGE(Y13,AA13)</f>
        <v>0.03</v>
      </c>
      <c r="AC13" s="271" t="s">
        <v>66</v>
      </c>
      <c r="AD13" s="10" t="s">
        <v>38</v>
      </c>
    </row>
    <row r="14" spans="1:30" ht="214.2" customHeight="1" thickTop="1" thickBot="1" x14ac:dyDescent="0.35">
      <c r="A14" s="330"/>
      <c r="B14" s="343"/>
      <c r="C14" s="86" t="s">
        <v>67</v>
      </c>
      <c r="D14" s="72">
        <v>0.02</v>
      </c>
      <c r="E14" s="18" t="s">
        <v>68</v>
      </c>
      <c r="F14" s="72">
        <v>0.02</v>
      </c>
      <c r="G14" s="87" t="s">
        <v>69</v>
      </c>
      <c r="H14" s="88" t="s">
        <v>43</v>
      </c>
      <c r="I14" s="69">
        <v>0.25</v>
      </c>
      <c r="J14" s="70">
        <f>I14*$F$14</f>
        <v>5.0000000000000001E-3</v>
      </c>
      <c r="K14" s="71" t="s">
        <v>149</v>
      </c>
      <c r="L14" s="69">
        <v>0.45279999999999998</v>
      </c>
      <c r="M14" s="70">
        <f>L14*$F$14</f>
        <v>9.0559999999999998E-3</v>
      </c>
      <c r="N14" s="69">
        <v>0.45279999999999998</v>
      </c>
      <c r="O14" s="70">
        <f>N14*$F$14</f>
        <v>9.0559999999999998E-3</v>
      </c>
      <c r="P14" s="70">
        <f t="shared" si="0"/>
        <v>9.0559999999999998E-3</v>
      </c>
      <c r="Q14" s="272" t="s">
        <v>150</v>
      </c>
      <c r="R14" s="69">
        <v>0.6</v>
      </c>
      <c r="S14" s="70">
        <f>R14*$F$14</f>
        <v>1.2E-2</v>
      </c>
      <c r="T14" s="69">
        <v>0.61850000000000005</v>
      </c>
      <c r="U14" s="70">
        <f>T14*$F$14</f>
        <v>1.2370000000000001E-2</v>
      </c>
      <c r="V14" s="164">
        <f>AVERAGE(S14,U14)</f>
        <v>1.2185000000000001E-2</v>
      </c>
      <c r="W14" s="230" t="s">
        <v>151</v>
      </c>
      <c r="X14" s="182">
        <v>0.64939999999999998</v>
      </c>
      <c r="Y14" s="147">
        <f>X14*$F$14</f>
        <v>1.2988E-2</v>
      </c>
      <c r="Z14" s="151">
        <v>0.64639999999999997</v>
      </c>
      <c r="AA14" s="147">
        <f>Z14*$F$14</f>
        <v>1.2928E-2</v>
      </c>
      <c r="AB14" s="161">
        <f>AVERAGE(Y14,AA14)</f>
        <v>1.2958000000000001E-2</v>
      </c>
      <c r="AC14" s="248" t="s">
        <v>152</v>
      </c>
      <c r="AD14" s="18" t="s">
        <v>38</v>
      </c>
    </row>
    <row r="15" spans="1:30" ht="123.6" customHeight="1" thickTop="1" thickBot="1" x14ac:dyDescent="0.35">
      <c r="A15" s="329" t="s">
        <v>74</v>
      </c>
      <c r="B15" s="342">
        <v>0.25</v>
      </c>
      <c r="C15" s="337" t="s">
        <v>75</v>
      </c>
      <c r="D15" s="370">
        <f>B15</f>
        <v>0.25</v>
      </c>
      <c r="E15" s="10" t="s">
        <v>76</v>
      </c>
      <c r="F15" s="90">
        <f>D15*0.8</f>
        <v>0.2</v>
      </c>
      <c r="G15" s="81" t="s">
        <v>77</v>
      </c>
      <c r="H15" s="91" t="s">
        <v>43</v>
      </c>
      <c r="I15" s="69">
        <v>0.67849999999999999</v>
      </c>
      <c r="J15" s="70">
        <f>I15*$F$15</f>
        <v>0.13570000000000002</v>
      </c>
      <c r="K15" s="92" t="s">
        <v>153</v>
      </c>
      <c r="L15" s="158">
        <v>1</v>
      </c>
      <c r="M15" s="70">
        <f>L15*$F$15</f>
        <v>0.2</v>
      </c>
      <c r="N15" s="158">
        <v>0.83330000000000004</v>
      </c>
      <c r="O15" s="70">
        <f>N15*$F$15</f>
        <v>0.16666000000000003</v>
      </c>
      <c r="P15" s="70">
        <f t="shared" si="0"/>
        <v>0.18333000000000002</v>
      </c>
      <c r="Q15" s="372" t="s">
        <v>154</v>
      </c>
      <c r="R15" s="335">
        <v>0.9</v>
      </c>
      <c r="S15" s="364"/>
      <c r="T15" s="364"/>
      <c r="U15" s="365"/>
      <c r="V15" s="164">
        <f>R15*F15</f>
        <v>0.18000000000000002</v>
      </c>
      <c r="W15" s="378" t="s">
        <v>155</v>
      </c>
      <c r="X15" s="376">
        <v>0.8</v>
      </c>
      <c r="Y15" s="348"/>
      <c r="Z15" s="348"/>
      <c r="AA15" s="377"/>
      <c r="AB15" s="161">
        <f>X15*F15</f>
        <v>0.16000000000000003</v>
      </c>
      <c r="AC15" s="379" t="s">
        <v>156</v>
      </c>
      <c r="AD15" s="10" t="s">
        <v>82</v>
      </c>
    </row>
    <row r="16" spans="1:30" ht="123.6" customHeight="1" thickTop="1" thickBot="1" x14ac:dyDescent="0.35">
      <c r="A16" s="330"/>
      <c r="B16" s="343"/>
      <c r="C16" s="338"/>
      <c r="D16" s="343"/>
      <c r="E16" s="12" t="s">
        <v>83</v>
      </c>
      <c r="F16" s="94">
        <f>D15*0.2</f>
        <v>0.05</v>
      </c>
      <c r="G16" s="84" t="s">
        <v>84</v>
      </c>
      <c r="H16" s="93" t="s">
        <v>43</v>
      </c>
      <c r="I16" s="69">
        <v>1</v>
      </c>
      <c r="J16" s="70">
        <f>I16*$F$16</f>
        <v>0.05</v>
      </c>
      <c r="K16" s="92" t="s">
        <v>157</v>
      </c>
      <c r="L16" s="158">
        <v>0.5</v>
      </c>
      <c r="M16" s="70">
        <f>L16*$F$16</f>
        <v>2.5000000000000001E-2</v>
      </c>
      <c r="N16" s="158">
        <v>0.8</v>
      </c>
      <c r="O16" s="70">
        <f>N16*$F$16</f>
        <v>4.0000000000000008E-2</v>
      </c>
      <c r="P16" s="70">
        <f t="shared" si="0"/>
        <v>3.2500000000000001E-2</v>
      </c>
      <c r="Q16" s="336"/>
      <c r="R16" s="335">
        <v>1</v>
      </c>
      <c r="S16" s="364"/>
      <c r="T16" s="364"/>
      <c r="U16" s="365"/>
      <c r="V16" s="164">
        <f>R16*F16</f>
        <v>0.05</v>
      </c>
      <c r="W16" s="361"/>
      <c r="X16" s="373">
        <v>1</v>
      </c>
      <c r="Y16" s="374"/>
      <c r="Z16" s="374"/>
      <c r="AA16" s="375"/>
      <c r="AB16" s="293">
        <f>X16*F16</f>
        <v>0.05</v>
      </c>
      <c r="AC16" s="362"/>
      <c r="AD16" s="12" t="s">
        <v>82</v>
      </c>
    </row>
    <row r="17" spans="1:30" ht="84" customHeight="1" thickTop="1" thickBot="1" x14ac:dyDescent="0.35">
      <c r="A17" s="329" t="s">
        <v>86</v>
      </c>
      <c r="B17" s="342">
        <v>0.3</v>
      </c>
      <c r="C17" s="337" t="s">
        <v>87</v>
      </c>
      <c r="D17" s="370">
        <f>$B$17/2</f>
        <v>0.15</v>
      </c>
      <c r="E17" s="340" t="s">
        <v>88</v>
      </c>
      <c r="F17" s="370">
        <f>$B$17/2</f>
        <v>0.15</v>
      </c>
      <c r="G17" s="95" t="s">
        <v>89</v>
      </c>
      <c r="H17" s="89">
        <v>1</v>
      </c>
      <c r="I17" s="335">
        <v>1</v>
      </c>
      <c r="J17" s="331">
        <f>I17*$F$17</f>
        <v>0.15</v>
      </c>
      <c r="K17" s="380" t="s">
        <v>158</v>
      </c>
      <c r="L17" s="345">
        <v>1</v>
      </c>
      <c r="M17" s="346"/>
      <c r="N17" s="346"/>
      <c r="O17" s="346"/>
      <c r="P17" s="331">
        <f>L17*$F17</f>
        <v>0.15</v>
      </c>
      <c r="Q17" s="369" t="s">
        <v>91</v>
      </c>
      <c r="R17" s="345">
        <v>1</v>
      </c>
      <c r="S17" s="346"/>
      <c r="T17" s="346"/>
      <c r="U17" s="346"/>
      <c r="V17" s="333">
        <f>R17*F17</f>
        <v>0.15</v>
      </c>
      <c r="W17" s="367" t="s">
        <v>92</v>
      </c>
      <c r="X17" s="351">
        <v>1</v>
      </c>
      <c r="Y17" s="348"/>
      <c r="Z17" s="348"/>
      <c r="AA17" s="352"/>
      <c r="AB17" s="371">
        <f>X17*D17</f>
        <v>0.15</v>
      </c>
      <c r="AC17" s="367" t="s">
        <v>92</v>
      </c>
      <c r="AD17" s="340" t="s">
        <v>93</v>
      </c>
    </row>
    <row r="18" spans="1:30" ht="84" customHeight="1" thickTop="1" thickBot="1" x14ac:dyDescent="0.35">
      <c r="A18" s="330"/>
      <c r="B18" s="343"/>
      <c r="C18" s="338"/>
      <c r="D18" s="343"/>
      <c r="E18" s="355"/>
      <c r="F18" s="343"/>
      <c r="G18" s="96" t="s">
        <v>94</v>
      </c>
      <c r="H18" s="93">
        <v>0</v>
      </c>
      <c r="I18" s="332"/>
      <c r="J18" s="332"/>
      <c r="K18" s="332"/>
      <c r="L18" s="347"/>
      <c r="M18" s="348"/>
      <c r="N18" s="348"/>
      <c r="O18" s="341"/>
      <c r="P18" s="332"/>
      <c r="Q18" s="332"/>
      <c r="R18" s="347"/>
      <c r="S18" s="341"/>
      <c r="T18" s="341"/>
      <c r="U18" s="341"/>
      <c r="V18" s="334"/>
      <c r="W18" s="362"/>
      <c r="X18" s="353"/>
      <c r="Y18" s="353"/>
      <c r="Z18" s="353"/>
      <c r="AA18" s="354"/>
      <c r="AB18" s="347"/>
      <c r="AC18" s="362"/>
      <c r="AD18" s="341"/>
    </row>
    <row r="19" spans="1:30" ht="109.95" customHeight="1" thickTop="1" thickBot="1" x14ac:dyDescent="0.35">
      <c r="A19" s="330"/>
      <c r="B19" s="343"/>
      <c r="C19" s="37" t="s">
        <v>95</v>
      </c>
      <c r="D19" s="91">
        <v>0.15</v>
      </c>
      <c r="E19" s="9" t="s">
        <v>96</v>
      </c>
      <c r="F19" s="91">
        <v>0.15</v>
      </c>
      <c r="G19" s="81" t="s">
        <v>97</v>
      </c>
      <c r="H19" s="91">
        <v>1</v>
      </c>
      <c r="I19" s="69">
        <v>2.2200000000000001E-2</v>
      </c>
      <c r="J19" s="70">
        <f>I19*$F$19</f>
        <v>3.3300000000000001E-3</v>
      </c>
      <c r="K19" s="114" t="s">
        <v>159</v>
      </c>
      <c r="L19" s="381">
        <v>0.1111</v>
      </c>
      <c r="M19" s="364"/>
      <c r="N19" s="364"/>
      <c r="O19" s="364"/>
      <c r="P19" s="70">
        <f>L19*$F19</f>
        <v>1.6664999999999999E-2</v>
      </c>
      <c r="Q19" s="78" t="s">
        <v>160</v>
      </c>
      <c r="R19" s="381">
        <v>0.17780000000000001</v>
      </c>
      <c r="S19" s="364"/>
      <c r="T19" s="364"/>
      <c r="U19" s="364"/>
      <c r="V19" s="164">
        <f>R19*$F19</f>
        <v>2.6670000000000003E-2</v>
      </c>
      <c r="W19" s="242" t="s">
        <v>161</v>
      </c>
      <c r="X19" s="366">
        <v>0.99770000000000003</v>
      </c>
      <c r="Y19" s="364"/>
      <c r="Z19" s="364"/>
      <c r="AA19" s="365"/>
      <c r="AB19" s="165">
        <f>X19*D19</f>
        <v>0.14965500000000001</v>
      </c>
      <c r="AC19" s="237" t="s">
        <v>162</v>
      </c>
      <c r="AD19" s="9" t="s">
        <v>93</v>
      </c>
    </row>
    <row r="20" spans="1:30" ht="26.7" customHeight="1" thickTop="1" x14ac:dyDescent="0.3">
      <c r="I20" s="64" t="s">
        <v>102</v>
      </c>
      <c r="J20" s="65">
        <f>SUM(J2:J19)</f>
        <v>0.74353000000000014</v>
      </c>
      <c r="O20" s="64" t="s">
        <v>102</v>
      </c>
      <c r="P20" s="65">
        <f>SUM(P2:P19)</f>
        <v>0.81421766666666673</v>
      </c>
      <c r="U20" s="64" t="s">
        <v>102</v>
      </c>
      <c r="V20" s="65">
        <f>SUM(V2:V19)</f>
        <v>0.83652166666666683</v>
      </c>
      <c r="W20" s="66"/>
      <c r="X20" s="224"/>
      <c r="Y20" s="225"/>
      <c r="Z20" s="224"/>
      <c r="AA20" s="64" t="s">
        <v>102</v>
      </c>
      <c r="AB20" s="65">
        <f>SUM(AB2:AB19)</f>
        <v>0.93594633333333344</v>
      </c>
      <c r="AC20" s="226"/>
    </row>
  </sheetData>
  <mergeCells count="91">
    <mergeCell ref="AC6:AC8"/>
    <mergeCell ref="N6:N8"/>
    <mergeCell ref="AB6:AB8"/>
    <mergeCell ref="V2:V4"/>
    <mergeCell ref="W17:W18"/>
    <mergeCell ref="AA6:AA8"/>
    <mergeCell ref="W2:W4"/>
    <mergeCell ref="W6:W8"/>
    <mergeCell ref="E6:E8"/>
    <mergeCell ref="T6:T8"/>
    <mergeCell ref="Q6:Q8"/>
    <mergeCell ref="T2:T4"/>
    <mergeCell ref="X2:X4"/>
    <mergeCell ref="B2:B9"/>
    <mergeCell ref="X11:AA11"/>
    <mergeCell ref="B15:B16"/>
    <mergeCell ref="V6:V8"/>
    <mergeCell ref="Y2:Y4"/>
    <mergeCell ref="L19:O19"/>
    <mergeCell ref="D15:D16"/>
    <mergeCell ref="U2:U4"/>
    <mergeCell ref="C2:C5"/>
    <mergeCell ref="Q17:Q18"/>
    <mergeCell ref="P6:P8"/>
    <mergeCell ref="S2:S4"/>
    <mergeCell ref="M6:M8"/>
    <mergeCell ref="R19:U19"/>
    <mergeCell ref="J6:J8"/>
    <mergeCell ref="O2:O4"/>
    <mergeCell ref="Q2:Q4"/>
    <mergeCell ref="R2:R4"/>
    <mergeCell ref="R15:U15"/>
    <mergeCell ref="M2:M4"/>
    <mergeCell ref="P2:P4"/>
    <mergeCell ref="AD17:AD18"/>
    <mergeCell ref="X15:AA15"/>
    <mergeCell ref="AD2:AD4"/>
    <mergeCell ref="S6:S8"/>
    <mergeCell ref="B10:B14"/>
    <mergeCell ref="W15:W16"/>
    <mergeCell ref="D17:D18"/>
    <mergeCell ref="AC15:AC16"/>
    <mergeCell ref="D2:D5"/>
    <mergeCell ref="J2:J4"/>
    <mergeCell ref="L2:L4"/>
    <mergeCell ref="F6:F8"/>
    <mergeCell ref="I2:I4"/>
    <mergeCell ref="K17:K18"/>
    <mergeCell ref="C17:C18"/>
    <mergeCell ref="R16:U16"/>
    <mergeCell ref="X19:AA19"/>
    <mergeCell ref="X6:X8"/>
    <mergeCell ref="AC17:AC18"/>
    <mergeCell ref="Y6:Y8"/>
    <mergeCell ref="A17:A19"/>
    <mergeCell ref="I6:I8"/>
    <mergeCell ref="K6:K8"/>
    <mergeCell ref="F17:F18"/>
    <mergeCell ref="P17:P18"/>
    <mergeCell ref="A10:A14"/>
    <mergeCell ref="AB17:AB18"/>
    <mergeCell ref="O6:O8"/>
    <mergeCell ref="Q15:Q16"/>
    <mergeCell ref="U6:U8"/>
    <mergeCell ref="X16:AA16"/>
    <mergeCell ref="R6:R8"/>
    <mergeCell ref="AD6:AD8"/>
    <mergeCell ref="B17:B19"/>
    <mergeCell ref="F2:F4"/>
    <mergeCell ref="L17:O18"/>
    <mergeCell ref="Z2:Z4"/>
    <mergeCell ref="AB2:AB4"/>
    <mergeCell ref="X17:AA18"/>
    <mergeCell ref="E2:E4"/>
    <mergeCell ref="E17:E18"/>
    <mergeCell ref="K2:K4"/>
    <mergeCell ref="D6:D9"/>
    <mergeCell ref="L6:L8"/>
    <mergeCell ref="AA2:AA4"/>
    <mergeCell ref="Z6:Z8"/>
    <mergeCell ref="AC2:AC4"/>
    <mergeCell ref="R11:U11"/>
    <mergeCell ref="A2:A9"/>
    <mergeCell ref="J17:J18"/>
    <mergeCell ref="A15:A16"/>
    <mergeCell ref="V17:V18"/>
    <mergeCell ref="N2:N4"/>
    <mergeCell ref="C15:C16"/>
    <mergeCell ref="C6:C9"/>
    <mergeCell ref="I17:I18"/>
    <mergeCell ref="R17:U18"/>
  </mergeCells>
  <printOptions horizontalCentered="1"/>
  <pageMargins left="0.25" right="0.25" top="0.75" bottom="0.75" header="0.3" footer="0.3"/>
  <pageSetup scale="40" orientation="landscape"/>
  <rowBreaks count="1" manualBreakCount="1">
    <brk id="16" max="16383"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12">
    <tabColor theme="7" tint="0.39997558519241921"/>
  </sheetPr>
  <dimension ref="A1:AD20"/>
  <sheetViews>
    <sheetView topLeftCell="K6" zoomScale="50" zoomScaleNormal="50" zoomScaleSheetLayoutView="90" workbookViewId="0">
      <selection activeCell="V10" sqref="V10:V14"/>
    </sheetView>
  </sheetViews>
  <sheetFormatPr baseColWidth="10" defaultColWidth="11.44140625" defaultRowHeight="21" x14ac:dyDescent="0.4"/>
  <cols>
    <col min="1" max="1" width="20.6640625" style="5" customWidth="1"/>
    <col min="2" max="2" width="9.109375" customWidth="1"/>
    <col min="3" max="3" width="19.6640625" style="4" customWidth="1"/>
    <col min="4" max="4" width="9.44140625" customWidth="1"/>
    <col min="5" max="5" width="40.6640625" style="3" customWidth="1"/>
    <col min="6" max="6" width="23.77734375" customWidth="1"/>
    <col min="7" max="7" width="63.88671875" customWidth="1"/>
    <col min="8" max="8" width="10.109375" customWidth="1"/>
    <col min="9" max="9" width="25.6640625" style="2" customWidth="1"/>
    <col min="10" max="10" width="25.6640625" style="1" customWidth="1"/>
    <col min="11" max="11" width="70.6640625" customWidth="1"/>
    <col min="12" max="16" width="15.44140625" customWidth="1"/>
    <col min="17" max="17" width="65.88671875" style="166" customWidth="1"/>
    <col min="18" max="22" width="15.6640625" customWidth="1"/>
    <col min="23" max="23" width="75.6640625" customWidth="1"/>
    <col min="24" max="28" width="15.33203125" style="140" customWidth="1"/>
    <col min="29" max="29" width="79" customWidth="1"/>
    <col min="30" max="30" width="25.44140625" customWidth="1"/>
  </cols>
  <sheetData>
    <row r="1" spans="1:30" s="28" customFormat="1" ht="112.2" customHeight="1" thickTop="1" thickBot="1" x14ac:dyDescent="0.35">
      <c r="A1" s="153" t="s">
        <v>0</v>
      </c>
      <c r="B1" s="153" t="s">
        <v>1</v>
      </c>
      <c r="C1" s="153" t="s">
        <v>2</v>
      </c>
      <c r="D1" s="153" t="s">
        <v>3</v>
      </c>
      <c r="E1" s="153" t="s">
        <v>4</v>
      </c>
      <c r="F1" s="153" t="s">
        <v>5</v>
      </c>
      <c r="G1" s="153" t="s">
        <v>6</v>
      </c>
      <c r="H1" s="153" t="s">
        <v>7</v>
      </c>
      <c r="I1" s="153" t="s">
        <v>8</v>
      </c>
      <c r="J1" s="153" t="s">
        <v>9</v>
      </c>
      <c r="K1" s="160" t="s">
        <v>10</v>
      </c>
      <c r="L1" s="153" t="s">
        <v>11</v>
      </c>
      <c r="M1" s="153" t="s">
        <v>12</v>
      </c>
      <c r="N1" s="153" t="s">
        <v>13</v>
      </c>
      <c r="O1" s="153" t="s">
        <v>14</v>
      </c>
      <c r="P1" s="153" t="s">
        <v>15</v>
      </c>
      <c r="Q1" s="160" t="s">
        <v>16</v>
      </c>
      <c r="R1" s="153" t="s">
        <v>17</v>
      </c>
      <c r="S1" s="153" t="s">
        <v>18</v>
      </c>
      <c r="T1" s="153" t="s">
        <v>19</v>
      </c>
      <c r="U1" s="153" t="s">
        <v>20</v>
      </c>
      <c r="V1" s="153" t="s">
        <v>21</v>
      </c>
      <c r="W1" s="160" t="s">
        <v>22</v>
      </c>
      <c r="X1" s="153" t="s">
        <v>23</v>
      </c>
      <c r="Y1" s="153" t="s">
        <v>24</v>
      </c>
      <c r="Z1" s="153" t="s">
        <v>25</v>
      </c>
      <c r="AA1" s="153" t="s">
        <v>26</v>
      </c>
      <c r="AB1" s="153" t="s">
        <v>27</v>
      </c>
      <c r="AC1" s="160" t="s">
        <v>28</v>
      </c>
      <c r="AD1" s="28" t="s">
        <v>29</v>
      </c>
    </row>
    <row r="2" spans="1:30" ht="53.25" customHeight="1" thickTop="1" thickBot="1" x14ac:dyDescent="0.35">
      <c r="A2" s="387" t="s">
        <v>30</v>
      </c>
      <c r="B2" s="394">
        <v>0.2</v>
      </c>
      <c r="C2" s="391" t="s">
        <v>31</v>
      </c>
      <c r="D2" s="398">
        <f>$B$2/2</f>
        <v>0.1</v>
      </c>
      <c r="E2" s="393" t="s">
        <v>32</v>
      </c>
      <c r="F2" s="395">
        <f>$B$2/4</f>
        <v>0.05</v>
      </c>
      <c r="G2" s="67" t="s">
        <v>33</v>
      </c>
      <c r="H2" s="68">
        <v>1</v>
      </c>
      <c r="I2" s="335">
        <v>1</v>
      </c>
      <c r="J2" s="331">
        <f>I2*$F$2</f>
        <v>0.05</v>
      </c>
      <c r="K2" s="369" t="s">
        <v>163</v>
      </c>
      <c r="L2" s="335">
        <v>1</v>
      </c>
      <c r="M2" s="331">
        <f>L2*$F$2</f>
        <v>0.05</v>
      </c>
      <c r="N2" s="335">
        <v>1</v>
      </c>
      <c r="O2" s="331">
        <f>N2*$F$2</f>
        <v>0.05</v>
      </c>
      <c r="P2" s="331">
        <f>AVERAGE(M2,O2)</f>
        <v>0.05</v>
      </c>
      <c r="Q2" s="369" t="s">
        <v>164</v>
      </c>
      <c r="R2" s="335">
        <v>0.94</v>
      </c>
      <c r="S2" s="331">
        <f>R2*$F$2</f>
        <v>4.7E-2</v>
      </c>
      <c r="T2" s="335">
        <v>1</v>
      </c>
      <c r="U2" s="331">
        <f>T2*$F$2</f>
        <v>0.05</v>
      </c>
      <c r="V2" s="333">
        <f>AVERAGE(S2,U2)</f>
        <v>4.8500000000000001E-2</v>
      </c>
      <c r="W2" s="407" t="s">
        <v>165</v>
      </c>
      <c r="X2" s="351">
        <v>0.91</v>
      </c>
      <c r="Y2" s="358">
        <f>X2*$F$2</f>
        <v>4.5500000000000006E-2</v>
      </c>
      <c r="Z2" s="349">
        <v>0.63</v>
      </c>
      <c r="AA2" s="358">
        <f>Z2*$F$2</f>
        <v>3.15E-2</v>
      </c>
      <c r="AB2" s="350">
        <f>AVERAGE(Y2,AA2)</f>
        <v>3.8500000000000006E-2</v>
      </c>
      <c r="AC2" s="360" t="s">
        <v>166</v>
      </c>
      <c r="AD2" s="393" t="s">
        <v>38</v>
      </c>
    </row>
    <row r="3" spans="1:30" ht="47.25" customHeight="1" thickTop="1" thickBot="1" x14ac:dyDescent="0.35">
      <c r="A3" s="388"/>
      <c r="B3" s="341"/>
      <c r="C3" s="392"/>
      <c r="D3" s="341"/>
      <c r="E3" s="397"/>
      <c r="F3" s="341"/>
      <c r="G3" s="67" t="s">
        <v>39</v>
      </c>
      <c r="H3" s="73">
        <v>0.8</v>
      </c>
      <c r="I3" s="336"/>
      <c r="J3" s="336"/>
      <c r="K3" s="336"/>
      <c r="L3" s="336"/>
      <c r="M3" s="336"/>
      <c r="N3" s="336"/>
      <c r="O3" s="336"/>
      <c r="P3" s="336"/>
      <c r="Q3" s="336"/>
      <c r="R3" s="336"/>
      <c r="S3" s="336"/>
      <c r="T3" s="336"/>
      <c r="U3" s="336"/>
      <c r="V3" s="347"/>
      <c r="W3" s="361"/>
      <c r="X3" s="352"/>
      <c r="Y3" s="336"/>
      <c r="Z3" s="336"/>
      <c r="AA3" s="336"/>
      <c r="AB3" s="347"/>
      <c r="AC3" s="361"/>
      <c r="AD3" s="341"/>
    </row>
    <row r="4" spans="1:30" ht="57" customHeight="1" thickTop="1" thickBot="1" x14ac:dyDescent="0.35">
      <c r="A4" s="388"/>
      <c r="B4" s="341"/>
      <c r="C4" s="392"/>
      <c r="D4" s="341"/>
      <c r="E4" s="389"/>
      <c r="F4" s="389"/>
      <c r="G4" s="67" t="s">
        <v>40</v>
      </c>
      <c r="H4" s="75">
        <v>0</v>
      </c>
      <c r="I4" s="332"/>
      <c r="J4" s="332"/>
      <c r="K4" s="332"/>
      <c r="L4" s="332"/>
      <c r="M4" s="332"/>
      <c r="N4" s="332"/>
      <c r="O4" s="332"/>
      <c r="P4" s="332"/>
      <c r="Q4" s="332"/>
      <c r="R4" s="332"/>
      <c r="S4" s="332"/>
      <c r="T4" s="332"/>
      <c r="U4" s="332"/>
      <c r="V4" s="334"/>
      <c r="W4" s="362"/>
      <c r="X4" s="354"/>
      <c r="Y4" s="332"/>
      <c r="Z4" s="332"/>
      <c r="AA4" s="332"/>
      <c r="AB4" s="334"/>
      <c r="AC4" s="362"/>
      <c r="AD4" s="389"/>
    </row>
    <row r="5" spans="1:30" ht="156" customHeight="1" thickTop="1" thickBot="1" x14ac:dyDescent="0.35">
      <c r="A5" s="388"/>
      <c r="B5" s="341"/>
      <c r="C5" s="389"/>
      <c r="D5" s="389"/>
      <c r="E5" s="12" t="s">
        <v>41</v>
      </c>
      <c r="F5" s="74">
        <f>$B$2/4</f>
        <v>0.05</v>
      </c>
      <c r="G5" s="40" t="s">
        <v>42</v>
      </c>
      <c r="H5" s="77" t="s">
        <v>43</v>
      </c>
      <c r="I5" s="69">
        <v>1</v>
      </c>
      <c r="J5" s="70">
        <f>I5*$F$5</f>
        <v>0.05</v>
      </c>
      <c r="K5" s="78" t="s">
        <v>124</v>
      </c>
      <c r="L5" s="69">
        <v>1</v>
      </c>
      <c r="M5" s="70">
        <f>L5*$F$5</f>
        <v>0.05</v>
      </c>
      <c r="N5" s="69">
        <v>1</v>
      </c>
      <c r="O5" s="70">
        <f>N5*$F$5</f>
        <v>0.05</v>
      </c>
      <c r="P5" s="70">
        <f>AVERAGE(M5,O5)</f>
        <v>0.05</v>
      </c>
      <c r="Q5" s="78" t="s">
        <v>123</v>
      </c>
      <c r="R5" s="69">
        <v>1</v>
      </c>
      <c r="S5" s="70">
        <f>R5*$F$5</f>
        <v>0.05</v>
      </c>
      <c r="T5" s="69">
        <v>1</v>
      </c>
      <c r="U5" s="70">
        <f>T5*$F$5</f>
        <v>0.05</v>
      </c>
      <c r="V5" s="164">
        <f>AVERAGE(S5,U5)</f>
        <v>0.05</v>
      </c>
      <c r="W5" s="241" t="s">
        <v>125</v>
      </c>
      <c r="X5" s="201">
        <v>1</v>
      </c>
      <c r="Y5" s="48">
        <f>X5*$F$5</f>
        <v>0.05</v>
      </c>
      <c r="Z5" s="43">
        <v>0.69</v>
      </c>
      <c r="AA5" s="48">
        <f>Z5*$F$5</f>
        <v>3.4499999999999996E-2</v>
      </c>
      <c r="AB5" s="165">
        <f>AVERAGE(Y5,AA5)</f>
        <v>4.2249999999999996E-2</v>
      </c>
      <c r="AC5" s="231" t="s">
        <v>167</v>
      </c>
      <c r="AD5" s="12" t="s">
        <v>38</v>
      </c>
    </row>
    <row r="6" spans="1:30" ht="43.2" customHeight="1" thickTop="1" thickBot="1" x14ac:dyDescent="0.35">
      <c r="A6" s="388"/>
      <c r="B6" s="341"/>
      <c r="C6" s="391" t="s">
        <v>46</v>
      </c>
      <c r="D6" s="398">
        <f>$B$2/2</f>
        <v>0.1</v>
      </c>
      <c r="E6" s="393" t="s">
        <v>32</v>
      </c>
      <c r="F6" s="395">
        <f>$B$2/4</f>
        <v>0.05</v>
      </c>
      <c r="G6" s="67" t="s">
        <v>33</v>
      </c>
      <c r="H6" s="68">
        <v>1</v>
      </c>
      <c r="I6" s="335">
        <v>1</v>
      </c>
      <c r="J6" s="331">
        <f>I6*$F$6</f>
        <v>0.05</v>
      </c>
      <c r="K6" s="369" t="s">
        <v>47</v>
      </c>
      <c r="L6" s="335">
        <v>1</v>
      </c>
      <c r="M6" s="331">
        <f>L6*$F$6</f>
        <v>0.05</v>
      </c>
      <c r="N6" s="335">
        <v>1</v>
      </c>
      <c r="O6" s="331">
        <f>N6*$F$6</f>
        <v>0.05</v>
      </c>
      <c r="P6" s="331">
        <f>AVERAGE(M6,O6)</f>
        <v>0.05</v>
      </c>
      <c r="Q6" s="356" t="s">
        <v>168</v>
      </c>
      <c r="R6" s="335">
        <v>1</v>
      </c>
      <c r="S6" s="331">
        <f>R6*$F$6</f>
        <v>0.05</v>
      </c>
      <c r="T6" s="335">
        <v>1</v>
      </c>
      <c r="U6" s="331">
        <f>T6*$F$6</f>
        <v>0.05</v>
      </c>
      <c r="V6" s="333">
        <f>AVERAGE(S6,U6)</f>
        <v>0.05</v>
      </c>
      <c r="W6" s="383" t="s">
        <v>168</v>
      </c>
      <c r="X6" s="366">
        <v>1</v>
      </c>
      <c r="Y6" s="368">
        <f>X6*$F$6</f>
        <v>0.05</v>
      </c>
      <c r="Z6" s="359">
        <v>1</v>
      </c>
      <c r="AA6" s="368">
        <f>Z6*$F$6</f>
        <v>0.05</v>
      </c>
      <c r="AB6" s="386">
        <f>AVERAGE(Y6,AA6)</f>
        <v>0.05</v>
      </c>
      <c r="AC6" s="383" t="s">
        <v>168</v>
      </c>
      <c r="AD6" s="393" t="s">
        <v>38</v>
      </c>
    </row>
    <row r="7" spans="1:30" ht="43.2" customHeight="1" thickTop="1" thickBot="1" x14ac:dyDescent="0.35">
      <c r="A7" s="388"/>
      <c r="B7" s="341"/>
      <c r="C7" s="392"/>
      <c r="D7" s="341"/>
      <c r="E7" s="397"/>
      <c r="F7" s="341"/>
      <c r="G7" s="67" t="s">
        <v>39</v>
      </c>
      <c r="H7" s="73">
        <v>0.8</v>
      </c>
      <c r="I7" s="336"/>
      <c r="J7" s="336"/>
      <c r="K7" s="336"/>
      <c r="L7" s="336"/>
      <c r="M7" s="336"/>
      <c r="N7" s="336"/>
      <c r="O7" s="336"/>
      <c r="P7" s="336"/>
      <c r="Q7" s="336"/>
      <c r="R7" s="336"/>
      <c r="S7" s="336"/>
      <c r="T7" s="336"/>
      <c r="U7" s="336"/>
      <c r="V7" s="347"/>
      <c r="W7" s="361"/>
      <c r="X7" s="352"/>
      <c r="Y7" s="336"/>
      <c r="Z7" s="336"/>
      <c r="AA7" s="336"/>
      <c r="AB7" s="347"/>
      <c r="AC7" s="361"/>
      <c r="AD7" s="341"/>
    </row>
    <row r="8" spans="1:30" ht="43.2" customHeight="1" thickTop="1" thickBot="1" x14ac:dyDescent="0.35">
      <c r="A8" s="388"/>
      <c r="B8" s="341"/>
      <c r="C8" s="392"/>
      <c r="D8" s="341"/>
      <c r="E8" s="389"/>
      <c r="F8" s="389"/>
      <c r="G8" s="67" t="s">
        <v>40</v>
      </c>
      <c r="H8" s="75">
        <v>0.5</v>
      </c>
      <c r="I8" s="332"/>
      <c r="J8" s="332"/>
      <c r="K8" s="332"/>
      <c r="L8" s="332"/>
      <c r="M8" s="332"/>
      <c r="N8" s="332"/>
      <c r="O8" s="332"/>
      <c r="P8" s="332"/>
      <c r="Q8" s="332"/>
      <c r="R8" s="332"/>
      <c r="S8" s="332"/>
      <c r="T8" s="332"/>
      <c r="U8" s="332"/>
      <c r="V8" s="334"/>
      <c r="W8" s="362"/>
      <c r="X8" s="354"/>
      <c r="Y8" s="332"/>
      <c r="Z8" s="332"/>
      <c r="AA8" s="332"/>
      <c r="AB8" s="334"/>
      <c r="AC8" s="362"/>
      <c r="AD8" s="389"/>
    </row>
    <row r="9" spans="1:30" ht="177" customHeight="1" thickTop="1" thickBot="1" x14ac:dyDescent="0.35">
      <c r="A9" s="389"/>
      <c r="B9" s="389"/>
      <c r="C9" s="389"/>
      <c r="D9" s="389"/>
      <c r="E9" s="12" t="s">
        <v>41</v>
      </c>
      <c r="F9" s="74">
        <f>$B$2/4</f>
        <v>0.05</v>
      </c>
      <c r="G9" s="40" t="s">
        <v>42</v>
      </c>
      <c r="H9" s="77" t="s">
        <v>43</v>
      </c>
      <c r="I9" s="69">
        <v>1</v>
      </c>
      <c r="J9" s="70">
        <f>I9*$F$9</f>
        <v>0.05</v>
      </c>
      <c r="K9" s="78" t="s">
        <v>169</v>
      </c>
      <c r="L9" s="69">
        <v>1</v>
      </c>
      <c r="M9" s="70">
        <f>L9*$F$9</f>
        <v>0.05</v>
      </c>
      <c r="N9" s="69">
        <v>1</v>
      </c>
      <c r="O9" s="70">
        <f>N9*$F$9</f>
        <v>0.05</v>
      </c>
      <c r="P9" s="164">
        <f t="shared" ref="P9:P16" si="0">AVERAGE(M9,O9)</f>
        <v>0.05</v>
      </c>
      <c r="Q9" s="173" t="s">
        <v>170</v>
      </c>
      <c r="R9" s="69">
        <v>0.85</v>
      </c>
      <c r="S9" s="70">
        <f>R9*$F$9</f>
        <v>4.2500000000000003E-2</v>
      </c>
      <c r="T9" s="69">
        <v>0.85</v>
      </c>
      <c r="U9" s="70">
        <f>T9*$F$9</f>
        <v>4.2500000000000003E-2</v>
      </c>
      <c r="V9" s="164">
        <f>AVERAGE(S9,U9)</f>
        <v>4.2500000000000003E-2</v>
      </c>
      <c r="W9" s="283" t="s">
        <v>171</v>
      </c>
      <c r="X9" s="201">
        <v>0.85</v>
      </c>
      <c r="Y9" s="48">
        <f>X9*$F$9</f>
        <v>4.2500000000000003E-2</v>
      </c>
      <c r="Z9" s="43">
        <v>0.85</v>
      </c>
      <c r="AA9" s="48">
        <f>Z9*$F$9</f>
        <v>4.2500000000000003E-2</v>
      </c>
      <c r="AB9" s="165">
        <f>AVERAGE(Y9,AA9)</f>
        <v>4.2500000000000003E-2</v>
      </c>
      <c r="AC9" s="278" t="s">
        <v>171</v>
      </c>
      <c r="AD9" s="12" t="s">
        <v>38</v>
      </c>
    </row>
    <row r="10" spans="1:30" ht="99.75" customHeight="1" thickTop="1" thickBot="1" x14ac:dyDescent="0.35">
      <c r="A10" s="387" t="s">
        <v>55</v>
      </c>
      <c r="B10" s="394">
        <v>0.25</v>
      </c>
      <c r="C10" s="79" t="s">
        <v>31</v>
      </c>
      <c r="D10" s="80">
        <f>(20%/3)</f>
        <v>6.6666666666666666E-2</v>
      </c>
      <c r="E10" s="10" t="s">
        <v>56</v>
      </c>
      <c r="F10" s="80">
        <f>(20%/3)</f>
        <v>6.6666666666666666E-2</v>
      </c>
      <c r="G10" s="81" t="s">
        <v>57</v>
      </c>
      <c r="H10" s="82" t="s">
        <v>43</v>
      </c>
      <c r="I10" s="69">
        <v>1</v>
      </c>
      <c r="J10" s="70">
        <f>I10*$F$10</f>
        <v>6.6666666666666666E-2</v>
      </c>
      <c r="K10" s="78"/>
      <c r="L10" s="69">
        <v>1</v>
      </c>
      <c r="M10" s="70">
        <f>L10*$F$10</f>
        <v>6.6666666666666666E-2</v>
      </c>
      <c r="N10" s="69">
        <v>1</v>
      </c>
      <c r="O10" s="70">
        <f>N10*$F$10</f>
        <v>6.6666666666666666E-2</v>
      </c>
      <c r="P10" s="70">
        <f t="shared" si="0"/>
        <v>6.6666666666666666E-2</v>
      </c>
      <c r="Q10" s="172" t="s">
        <v>134</v>
      </c>
      <c r="R10" s="69">
        <v>0.97</v>
      </c>
      <c r="S10" s="70">
        <f>R10*$F$10</f>
        <v>6.4666666666666664E-2</v>
      </c>
      <c r="T10" s="69">
        <v>1</v>
      </c>
      <c r="U10" s="70">
        <f>T10*$F$10</f>
        <v>6.6666666666666666E-2</v>
      </c>
      <c r="V10" s="164">
        <f>AVERAGE(S10,U10)</f>
        <v>6.5666666666666665E-2</v>
      </c>
      <c r="W10" s="257" t="s">
        <v>172</v>
      </c>
      <c r="X10" s="201">
        <v>0.95499999999999996</v>
      </c>
      <c r="Y10" s="48">
        <f>X10*$F$10</f>
        <v>6.3666666666666663E-2</v>
      </c>
      <c r="Z10" s="43">
        <v>0.66</v>
      </c>
      <c r="AA10" s="48">
        <f>Z10*$F$10</f>
        <v>4.4000000000000004E-2</v>
      </c>
      <c r="AB10" s="165">
        <f>AVERAGE(Y10,AA10)</f>
        <v>5.383333333333333E-2</v>
      </c>
      <c r="AC10" s="253" t="s">
        <v>173</v>
      </c>
      <c r="AD10" s="10" t="s">
        <v>38</v>
      </c>
    </row>
    <row r="11" spans="1:30" ht="70.2" customHeight="1" thickTop="1" thickBot="1" x14ac:dyDescent="0.35">
      <c r="A11" s="388"/>
      <c r="B11" s="341"/>
      <c r="C11" s="79" t="s">
        <v>135</v>
      </c>
      <c r="D11" s="80">
        <f>(20%/3)</f>
        <v>6.6666666666666666E-2</v>
      </c>
      <c r="E11" s="10" t="s">
        <v>136</v>
      </c>
      <c r="F11" s="80">
        <f>(20%/3)</f>
        <v>6.6666666666666666E-2</v>
      </c>
      <c r="G11" s="81" t="s">
        <v>137</v>
      </c>
      <c r="H11" s="82" t="s">
        <v>43</v>
      </c>
      <c r="I11" s="69">
        <v>0.35</v>
      </c>
      <c r="J11" s="70">
        <f>I11*$F$11</f>
        <v>2.3333333333333331E-2</v>
      </c>
      <c r="K11" s="78" t="s">
        <v>174</v>
      </c>
      <c r="L11" s="69">
        <v>0.89</v>
      </c>
      <c r="M11" s="70">
        <f>L11*$F$11</f>
        <v>5.9333333333333335E-2</v>
      </c>
      <c r="N11" s="69">
        <v>0.89</v>
      </c>
      <c r="O11" s="70">
        <f>N11*$F$11</f>
        <v>5.9333333333333335E-2</v>
      </c>
      <c r="P11" s="70">
        <f t="shared" si="0"/>
        <v>5.9333333333333335E-2</v>
      </c>
      <c r="Q11" s="78" t="s">
        <v>175</v>
      </c>
      <c r="R11" s="335">
        <v>0.89</v>
      </c>
      <c r="S11" s="364"/>
      <c r="T11" s="364"/>
      <c r="U11" s="365"/>
      <c r="V11" s="164">
        <f>R11*D11</f>
        <v>5.9333333333333335E-2</v>
      </c>
      <c r="W11" s="241" t="s">
        <v>176</v>
      </c>
      <c r="X11" s="366">
        <v>0.9</v>
      </c>
      <c r="Y11" s="364"/>
      <c r="Z11" s="364"/>
      <c r="AA11" s="365"/>
      <c r="AB11" s="165">
        <f>X11*D11</f>
        <v>0.06</v>
      </c>
      <c r="AC11" s="241" t="s">
        <v>177</v>
      </c>
      <c r="AD11" s="10" t="s">
        <v>82</v>
      </c>
    </row>
    <row r="12" spans="1:30" ht="60" customHeight="1" thickTop="1" thickBot="1" x14ac:dyDescent="0.35">
      <c r="A12" s="388"/>
      <c r="B12" s="341"/>
      <c r="C12" s="83" t="s">
        <v>142</v>
      </c>
      <c r="D12" s="80">
        <f>(20%/3)</f>
        <v>6.6666666666666666E-2</v>
      </c>
      <c r="E12" s="12" t="s">
        <v>143</v>
      </c>
      <c r="F12" s="80">
        <f>(20%/3)</f>
        <v>6.6666666666666666E-2</v>
      </c>
      <c r="G12" s="84" t="s">
        <v>144</v>
      </c>
      <c r="H12" s="85" t="s">
        <v>43</v>
      </c>
      <c r="I12" s="69">
        <v>1</v>
      </c>
      <c r="J12" s="70">
        <f>I12*$F$12</f>
        <v>6.6666666666666666E-2</v>
      </c>
      <c r="K12" s="78" t="s">
        <v>178</v>
      </c>
      <c r="L12" s="69">
        <v>1</v>
      </c>
      <c r="M12" s="70">
        <f>L12*$F$12</f>
        <v>6.6666666666666666E-2</v>
      </c>
      <c r="N12" s="69">
        <v>1</v>
      </c>
      <c r="O12" s="70">
        <f>N12*$F$12</f>
        <v>6.6666666666666666E-2</v>
      </c>
      <c r="P12" s="70">
        <f t="shared" si="0"/>
        <v>6.6666666666666666E-2</v>
      </c>
      <c r="Q12" s="78" t="s">
        <v>178</v>
      </c>
      <c r="R12" s="69">
        <v>1</v>
      </c>
      <c r="S12" s="70">
        <f>R12*$F$12</f>
        <v>6.6666666666666666E-2</v>
      </c>
      <c r="T12" s="69">
        <v>1</v>
      </c>
      <c r="U12" s="70">
        <f>T12*$F$12</f>
        <v>6.6666666666666666E-2</v>
      </c>
      <c r="V12" s="164">
        <f>AVERAGE(S12,U12)</f>
        <v>6.6666666666666666E-2</v>
      </c>
      <c r="W12" s="241" t="s">
        <v>178</v>
      </c>
      <c r="X12" s="201">
        <v>1</v>
      </c>
      <c r="Y12" s="200">
        <f>X12*D12</f>
        <v>6.6666666666666666E-2</v>
      </c>
      <c r="Z12" s="43">
        <v>1</v>
      </c>
      <c r="AA12" s="200">
        <f>Z12*D12</f>
        <v>6.6666666666666666E-2</v>
      </c>
      <c r="AB12" s="223">
        <f>AVERAGE(Y12,AA12)</f>
        <v>6.6666666666666666E-2</v>
      </c>
      <c r="AC12" s="241" t="s">
        <v>178</v>
      </c>
      <c r="AD12" s="12" t="s">
        <v>38</v>
      </c>
    </row>
    <row r="13" spans="1:30" ht="100.5" customHeight="1" thickTop="1" thickBot="1" x14ac:dyDescent="0.35">
      <c r="A13" s="388"/>
      <c r="B13" s="341"/>
      <c r="C13" s="79" t="s">
        <v>60</v>
      </c>
      <c r="D13" s="80">
        <v>0.03</v>
      </c>
      <c r="E13" s="10" t="s">
        <v>61</v>
      </c>
      <c r="F13" s="80">
        <v>0.03</v>
      </c>
      <c r="G13" s="81" t="s">
        <v>62</v>
      </c>
      <c r="H13" s="82" t="s">
        <v>43</v>
      </c>
      <c r="I13" s="69">
        <v>1</v>
      </c>
      <c r="J13" s="70">
        <f>I13*$F$13</f>
        <v>0.03</v>
      </c>
      <c r="K13" s="78" t="s">
        <v>179</v>
      </c>
      <c r="L13" s="69">
        <v>1</v>
      </c>
      <c r="M13" s="70">
        <f>L13*$F$13</f>
        <v>0.03</v>
      </c>
      <c r="N13" s="69">
        <v>1</v>
      </c>
      <c r="O13" s="70">
        <f>N13*$F$13</f>
        <v>0.03</v>
      </c>
      <c r="P13" s="70">
        <f t="shared" si="0"/>
        <v>0.03</v>
      </c>
      <c r="Q13" s="272" t="s">
        <v>180</v>
      </c>
      <c r="R13" s="69">
        <v>1</v>
      </c>
      <c r="S13" s="70">
        <f>R13*$F$13</f>
        <v>0.03</v>
      </c>
      <c r="T13" s="69">
        <v>1</v>
      </c>
      <c r="U13" s="70">
        <f>T13*$F$13</f>
        <v>0.03</v>
      </c>
      <c r="V13" s="164">
        <f>AVERAGE(S13,U13)</f>
        <v>0.03</v>
      </c>
      <c r="W13" s="238" t="s">
        <v>65</v>
      </c>
      <c r="X13" s="182">
        <v>1</v>
      </c>
      <c r="Y13" s="147">
        <f>X13*$F$13</f>
        <v>0.03</v>
      </c>
      <c r="Z13" s="151">
        <v>1</v>
      </c>
      <c r="AA13" s="147">
        <f>Z13*$F$13</f>
        <v>0.03</v>
      </c>
      <c r="AB13" s="161">
        <f>AVERAGE(Y13,AA13)</f>
        <v>0.03</v>
      </c>
      <c r="AC13" s="238" t="s">
        <v>181</v>
      </c>
      <c r="AD13" s="10" t="s">
        <v>38</v>
      </c>
    </row>
    <row r="14" spans="1:30" ht="91.95" customHeight="1" thickTop="1" thickBot="1" x14ac:dyDescent="0.35">
      <c r="A14" s="389"/>
      <c r="B14" s="389"/>
      <c r="C14" s="86" t="s">
        <v>67</v>
      </c>
      <c r="D14" s="72">
        <v>0.02</v>
      </c>
      <c r="E14" s="18" t="s">
        <v>68</v>
      </c>
      <c r="F14" s="72">
        <v>0.02</v>
      </c>
      <c r="G14" s="87" t="s">
        <v>69</v>
      </c>
      <c r="H14" s="88" t="s">
        <v>43</v>
      </c>
      <c r="I14" s="69">
        <v>0.2727</v>
      </c>
      <c r="J14" s="70">
        <f>I14*$F$14</f>
        <v>5.4539999999999996E-3</v>
      </c>
      <c r="K14" s="78" t="s">
        <v>182</v>
      </c>
      <c r="L14" s="69">
        <v>0.26079999999999998</v>
      </c>
      <c r="M14" s="70">
        <f>L14*$F$14</f>
        <v>5.2159999999999993E-3</v>
      </c>
      <c r="N14" s="69">
        <v>0.4</v>
      </c>
      <c r="O14" s="70">
        <f>N14*$F$14</f>
        <v>8.0000000000000002E-3</v>
      </c>
      <c r="P14" s="179">
        <f t="shared" si="0"/>
        <v>6.6079999999999993E-3</v>
      </c>
      <c r="Q14" s="189" t="s">
        <v>183</v>
      </c>
      <c r="R14" s="69">
        <v>0.31809999999999999</v>
      </c>
      <c r="S14" s="70">
        <f>R14*$F$14</f>
        <v>6.3619999999999996E-3</v>
      </c>
      <c r="T14" s="69">
        <v>0.31809999999999999</v>
      </c>
      <c r="U14" s="70">
        <f>T14*$F$14</f>
        <v>6.3619999999999996E-3</v>
      </c>
      <c r="V14" s="303">
        <f>AVERAGE(S14,U14)</f>
        <v>6.3619999999999996E-3</v>
      </c>
      <c r="W14" s="256" t="s">
        <v>184</v>
      </c>
      <c r="X14" s="306">
        <v>0.31809999999999999</v>
      </c>
      <c r="Y14" s="268">
        <f>X14*$F$14</f>
        <v>6.3619999999999996E-3</v>
      </c>
      <c r="Z14" s="69">
        <v>0.31809999999999999</v>
      </c>
      <c r="AA14" s="268">
        <f>Z14*$F$14</f>
        <v>6.3619999999999996E-3</v>
      </c>
      <c r="AB14" s="161">
        <f>AVERAGE(Y14,AA14)</f>
        <v>6.3619999999999996E-3</v>
      </c>
      <c r="AC14" s="256" t="s">
        <v>185</v>
      </c>
      <c r="AD14" s="18" t="s">
        <v>38</v>
      </c>
    </row>
    <row r="15" spans="1:30" ht="121.95" customHeight="1" thickTop="1" thickBot="1" x14ac:dyDescent="0.35">
      <c r="A15" s="387" t="s">
        <v>74</v>
      </c>
      <c r="B15" s="394">
        <v>0.25</v>
      </c>
      <c r="C15" s="390" t="s">
        <v>75</v>
      </c>
      <c r="D15" s="400">
        <f>B15</f>
        <v>0.25</v>
      </c>
      <c r="E15" s="14" t="s">
        <v>76</v>
      </c>
      <c r="F15" s="101">
        <f>D15*0.8</f>
        <v>0.2</v>
      </c>
      <c r="G15" s="81" t="s">
        <v>77</v>
      </c>
      <c r="H15" s="89" t="s">
        <v>43</v>
      </c>
      <c r="I15" s="69">
        <v>0.45850000000000002</v>
      </c>
      <c r="J15" s="70">
        <f>I15*$F$15</f>
        <v>9.1700000000000004E-2</v>
      </c>
      <c r="K15" s="92" t="s">
        <v>186</v>
      </c>
      <c r="L15" s="69">
        <v>0.85709999999999997</v>
      </c>
      <c r="M15" s="70">
        <f>L15*$F$15</f>
        <v>0.17142000000000002</v>
      </c>
      <c r="N15" s="69">
        <v>1</v>
      </c>
      <c r="O15" s="70">
        <f>N15*$F$15</f>
        <v>0.2</v>
      </c>
      <c r="P15" s="185">
        <f t="shared" si="0"/>
        <v>0.18571000000000001</v>
      </c>
      <c r="Q15" s="401" t="s">
        <v>187</v>
      </c>
      <c r="R15" s="363">
        <v>0.8</v>
      </c>
      <c r="S15" s="364"/>
      <c r="T15" s="364"/>
      <c r="U15" s="365"/>
      <c r="V15" s="251">
        <f>R15*F15</f>
        <v>0.16000000000000003</v>
      </c>
      <c r="W15" s="403" t="s">
        <v>188</v>
      </c>
      <c r="X15" s="402">
        <v>0.66669999999999996</v>
      </c>
      <c r="Y15" s="374"/>
      <c r="Z15" s="374"/>
      <c r="AA15" s="375"/>
      <c r="AB15" s="294">
        <f>X15*F15</f>
        <v>0.13333999999999999</v>
      </c>
      <c r="AC15" s="405" t="s">
        <v>189</v>
      </c>
      <c r="AD15" s="14" t="s">
        <v>82</v>
      </c>
    </row>
    <row r="16" spans="1:30" ht="121.95" customHeight="1" thickTop="1" thickBot="1" x14ac:dyDescent="0.35">
      <c r="A16" s="389"/>
      <c r="B16" s="389"/>
      <c r="C16" s="389"/>
      <c r="D16" s="389"/>
      <c r="E16" s="12" t="s">
        <v>83</v>
      </c>
      <c r="F16" s="94">
        <f>D15*0.2</f>
        <v>0.05</v>
      </c>
      <c r="G16" s="84" t="s">
        <v>84</v>
      </c>
      <c r="H16" s="93" t="s">
        <v>43</v>
      </c>
      <c r="I16" s="69">
        <v>0</v>
      </c>
      <c r="J16" s="70">
        <f>I16*$F$16</f>
        <v>0</v>
      </c>
      <c r="K16" s="92" t="s">
        <v>190</v>
      </c>
      <c r="L16" s="69">
        <v>0.75</v>
      </c>
      <c r="M16" s="70">
        <f>L16*$F$16</f>
        <v>3.7500000000000006E-2</v>
      </c>
      <c r="N16" s="69">
        <v>0</v>
      </c>
      <c r="O16" s="70">
        <f>N16*$F$16</f>
        <v>0</v>
      </c>
      <c r="P16" s="185">
        <f t="shared" si="0"/>
        <v>1.8750000000000003E-2</v>
      </c>
      <c r="Q16" s="332"/>
      <c r="R16" s="363">
        <v>1</v>
      </c>
      <c r="S16" s="364"/>
      <c r="T16" s="364"/>
      <c r="U16" s="365"/>
      <c r="V16" s="251">
        <f>R16*F16</f>
        <v>0.05</v>
      </c>
      <c r="W16" s="404"/>
      <c r="X16" s="402">
        <v>1</v>
      </c>
      <c r="Y16" s="374"/>
      <c r="Z16" s="374"/>
      <c r="AA16" s="375"/>
      <c r="AB16" s="293">
        <f>X16*F16</f>
        <v>0.05</v>
      </c>
      <c r="AC16" s="404"/>
      <c r="AD16" s="12" t="s">
        <v>82</v>
      </c>
    </row>
    <row r="17" spans="1:30" ht="66" customHeight="1" thickTop="1" thickBot="1" x14ac:dyDescent="0.35">
      <c r="A17" s="387" t="s">
        <v>86</v>
      </c>
      <c r="B17" s="394">
        <v>0.3</v>
      </c>
      <c r="C17" s="390" t="s">
        <v>87</v>
      </c>
      <c r="D17" s="400">
        <f>$B$17/2</f>
        <v>0.15</v>
      </c>
      <c r="E17" s="393" t="s">
        <v>88</v>
      </c>
      <c r="F17" s="400">
        <f>$B$17/2</f>
        <v>0.15</v>
      </c>
      <c r="G17" s="138" t="s">
        <v>89</v>
      </c>
      <c r="H17" s="89">
        <v>1</v>
      </c>
      <c r="I17" s="335">
        <v>1</v>
      </c>
      <c r="J17" s="331">
        <f>I17*$F$17</f>
        <v>0.15</v>
      </c>
      <c r="K17" s="369" t="s">
        <v>191</v>
      </c>
      <c r="L17" s="359">
        <v>1</v>
      </c>
      <c r="M17" s="346"/>
      <c r="N17" s="346"/>
      <c r="O17" s="396"/>
      <c r="P17" s="331">
        <f>L17*$F17</f>
        <v>0.15</v>
      </c>
      <c r="Q17" s="369" t="s">
        <v>91</v>
      </c>
      <c r="R17" s="359">
        <v>1</v>
      </c>
      <c r="S17" s="346"/>
      <c r="T17" s="346"/>
      <c r="U17" s="396"/>
      <c r="V17" s="333">
        <f>R17*$F17</f>
        <v>0.15</v>
      </c>
      <c r="W17" s="399" t="s">
        <v>92</v>
      </c>
      <c r="X17" s="351">
        <v>1</v>
      </c>
      <c r="Y17" s="348"/>
      <c r="Z17" s="348"/>
      <c r="AA17" s="352"/>
      <c r="AB17" s="386">
        <f>X17*F17</f>
        <v>0.15</v>
      </c>
      <c r="AC17" s="399" t="s">
        <v>92</v>
      </c>
      <c r="AD17" s="393" t="s">
        <v>93</v>
      </c>
    </row>
    <row r="18" spans="1:30" ht="66" customHeight="1" thickTop="1" thickBot="1" x14ac:dyDescent="0.35">
      <c r="A18" s="388"/>
      <c r="B18" s="341"/>
      <c r="C18" s="389"/>
      <c r="D18" s="389"/>
      <c r="E18" s="389"/>
      <c r="F18" s="389"/>
      <c r="G18" s="96" t="s">
        <v>94</v>
      </c>
      <c r="H18" s="93">
        <v>0</v>
      </c>
      <c r="I18" s="332"/>
      <c r="J18" s="332"/>
      <c r="K18" s="332"/>
      <c r="L18" s="334"/>
      <c r="M18" s="353"/>
      <c r="N18" s="353"/>
      <c r="O18" s="354"/>
      <c r="P18" s="332"/>
      <c r="Q18" s="332"/>
      <c r="R18" s="334"/>
      <c r="S18" s="353"/>
      <c r="T18" s="353"/>
      <c r="U18" s="354"/>
      <c r="V18" s="334"/>
      <c r="W18" s="362"/>
      <c r="X18" s="353"/>
      <c r="Y18" s="353"/>
      <c r="Z18" s="353"/>
      <c r="AA18" s="354"/>
      <c r="AB18" s="334"/>
      <c r="AC18" s="362"/>
      <c r="AD18" s="389"/>
    </row>
    <row r="19" spans="1:30" ht="82.2" customHeight="1" thickTop="1" thickBot="1" x14ac:dyDescent="0.35">
      <c r="A19" s="389"/>
      <c r="B19" s="389"/>
      <c r="C19" s="37" t="s">
        <v>95</v>
      </c>
      <c r="D19" s="91">
        <v>0.15</v>
      </c>
      <c r="E19" s="9" t="s">
        <v>96</v>
      </c>
      <c r="F19" s="91">
        <v>0.15</v>
      </c>
      <c r="G19" s="81" t="s">
        <v>97</v>
      </c>
      <c r="H19" s="91">
        <v>1</v>
      </c>
      <c r="I19" s="69">
        <v>9.7600000000000006E-2</v>
      </c>
      <c r="J19" s="70">
        <f>I19*$F$19</f>
        <v>1.464E-2</v>
      </c>
      <c r="K19" s="78" t="s">
        <v>192</v>
      </c>
      <c r="L19" s="406">
        <v>0.62180000000000002</v>
      </c>
      <c r="M19" s="364"/>
      <c r="N19" s="364"/>
      <c r="O19" s="365"/>
      <c r="P19" s="70">
        <f>L19*$F19</f>
        <v>9.3270000000000006E-2</v>
      </c>
      <c r="Q19" s="78" t="s">
        <v>193</v>
      </c>
      <c r="R19" s="406">
        <v>0.7288</v>
      </c>
      <c r="S19" s="364"/>
      <c r="T19" s="364"/>
      <c r="U19" s="365"/>
      <c r="V19" s="164">
        <f>R19*$F19</f>
        <v>0.10932</v>
      </c>
      <c r="W19" s="242" t="s">
        <v>194</v>
      </c>
      <c r="X19" s="366">
        <v>0.83209999999999995</v>
      </c>
      <c r="Y19" s="364"/>
      <c r="Z19" s="364"/>
      <c r="AA19" s="365"/>
      <c r="AB19" s="165">
        <f>D19*X19</f>
        <v>0.12481499999999998</v>
      </c>
      <c r="AC19" s="237" t="s">
        <v>195</v>
      </c>
      <c r="AD19" s="9" t="s">
        <v>93</v>
      </c>
    </row>
    <row r="20" spans="1:30" ht="26.7" customHeight="1" thickTop="1" x14ac:dyDescent="0.3">
      <c r="I20" s="64" t="s">
        <v>102</v>
      </c>
      <c r="J20" s="65">
        <f>SUM(J2:J19)</f>
        <v>0.64846066666666657</v>
      </c>
      <c r="O20" s="64" t="s">
        <v>102</v>
      </c>
      <c r="P20" s="65">
        <f>SUM(P2:P19)</f>
        <v>0.87700466666666665</v>
      </c>
      <c r="U20" s="64" t="s">
        <v>102</v>
      </c>
      <c r="V20" s="65">
        <f>SUM(V2:V19)</f>
        <v>0.88834866666666679</v>
      </c>
      <c r="W20" s="166"/>
      <c r="X20" s="224"/>
      <c r="Y20" s="225"/>
      <c r="Z20" s="224"/>
      <c r="AA20" s="64" t="s">
        <v>102</v>
      </c>
      <c r="AB20" s="65">
        <f>SUM(AB2:AB19)</f>
        <v>0.8482670000000001</v>
      </c>
      <c r="AC20" s="226"/>
    </row>
  </sheetData>
  <mergeCells count="91">
    <mergeCell ref="AC6:AC8"/>
    <mergeCell ref="N6:N8"/>
    <mergeCell ref="AB6:AB8"/>
    <mergeCell ref="V2:V4"/>
    <mergeCell ref="W17:W18"/>
    <mergeCell ref="AA6:AA8"/>
    <mergeCell ref="W2:W4"/>
    <mergeCell ref="W6:W8"/>
    <mergeCell ref="E6:E8"/>
    <mergeCell ref="T6:T8"/>
    <mergeCell ref="Q6:Q8"/>
    <mergeCell ref="T2:T4"/>
    <mergeCell ref="X2:X4"/>
    <mergeCell ref="B2:B9"/>
    <mergeCell ref="X11:AA11"/>
    <mergeCell ref="B15:B16"/>
    <mergeCell ref="V6:V8"/>
    <mergeCell ref="Y2:Y4"/>
    <mergeCell ref="L19:O19"/>
    <mergeCell ref="D15:D16"/>
    <mergeCell ref="U2:U4"/>
    <mergeCell ref="C2:C5"/>
    <mergeCell ref="Q17:Q18"/>
    <mergeCell ref="P6:P8"/>
    <mergeCell ref="S2:S4"/>
    <mergeCell ref="M6:M8"/>
    <mergeCell ref="R19:U19"/>
    <mergeCell ref="J6:J8"/>
    <mergeCell ref="O2:O4"/>
    <mergeCell ref="Q2:Q4"/>
    <mergeCell ref="R2:R4"/>
    <mergeCell ref="R15:U15"/>
    <mergeCell ref="M2:M4"/>
    <mergeCell ref="P2:P4"/>
    <mergeCell ref="AD17:AD18"/>
    <mergeCell ref="X15:AA15"/>
    <mergeCell ref="AD2:AD4"/>
    <mergeCell ref="S6:S8"/>
    <mergeCell ref="B10:B14"/>
    <mergeCell ref="W15:W16"/>
    <mergeCell ref="D17:D18"/>
    <mergeCell ref="AC15:AC16"/>
    <mergeCell ref="D2:D5"/>
    <mergeCell ref="J2:J4"/>
    <mergeCell ref="L2:L4"/>
    <mergeCell ref="F6:F8"/>
    <mergeCell ref="I2:I4"/>
    <mergeCell ref="K17:K18"/>
    <mergeCell ref="C17:C18"/>
    <mergeCell ref="R16:U16"/>
    <mergeCell ref="X19:AA19"/>
    <mergeCell ref="X6:X8"/>
    <mergeCell ref="AC17:AC18"/>
    <mergeCell ref="Y6:Y8"/>
    <mergeCell ref="A17:A19"/>
    <mergeCell ref="I6:I8"/>
    <mergeCell ref="K6:K8"/>
    <mergeCell ref="P17:P18"/>
    <mergeCell ref="F17:F18"/>
    <mergeCell ref="A10:A14"/>
    <mergeCell ref="AB17:AB18"/>
    <mergeCell ref="Q15:Q16"/>
    <mergeCell ref="O6:O8"/>
    <mergeCell ref="U6:U8"/>
    <mergeCell ref="X16:AA16"/>
    <mergeCell ref="R6:R8"/>
    <mergeCell ref="AD6:AD8"/>
    <mergeCell ref="B17:B19"/>
    <mergeCell ref="F2:F4"/>
    <mergeCell ref="L17:O18"/>
    <mergeCell ref="Z2:Z4"/>
    <mergeCell ref="AB2:AB4"/>
    <mergeCell ref="X17:AA18"/>
    <mergeCell ref="E2:E4"/>
    <mergeCell ref="E17:E18"/>
    <mergeCell ref="K2:K4"/>
    <mergeCell ref="D6:D9"/>
    <mergeCell ref="L6:L8"/>
    <mergeCell ref="AA2:AA4"/>
    <mergeCell ref="Z6:Z8"/>
    <mergeCell ref="AC2:AC4"/>
    <mergeCell ref="R11:U11"/>
    <mergeCell ref="A2:A9"/>
    <mergeCell ref="J17:J18"/>
    <mergeCell ref="A15:A16"/>
    <mergeCell ref="V17:V18"/>
    <mergeCell ref="N2:N4"/>
    <mergeCell ref="C15:C16"/>
    <mergeCell ref="C6:C9"/>
    <mergeCell ref="I17:I18"/>
    <mergeCell ref="R17:U18"/>
  </mergeCells>
  <printOptions horizontalCentered="1"/>
  <pageMargins left="0.23622047244094491" right="0.23622047244094491" top="0.74803149606299213" bottom="0.74803149606299213" header="0.31496062992125978" footer="0.31496062992125978"/>
  <pageSetup scale="42" fitToHeight="0"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1">
    <tabColor theme="7" tint="0.39997558519241921"/>
  </sheetPr>
  <dimension ref="A1:AD28"/>
  <sheetViews>
    <sheetView topLeftCell="N13" zoomScale="50" zoomScaleNormal="50" zoomScaleSheetLayoutView="80" workbookViewId="0">
      <selection activeCell="V14" sqref="V14:V19"/>
    </sheetView>
  </sheetViews>
  <sheetFormatPr baseColWidth="10" defaultColWidth="11.44140625" defaultRowHeight="21" x14ac:dyDescent="0.4"/>
  <cols>
    <col min="1" max="1" width="20.6640625" style="5" customWidth="1"/>
    <col min="2" max="2" width="9.109375" customWidth="1"/>
    <col min="3" max="3" width="19.6640625" style="4" customWidth="1"/>
    <col min="4" max="4" width="8.33203125" customWidth="1"/>
    <col min="5" max="5" width="40.6640625" style="3" customWidth="1"/>
    <col min="6" max="6" width="26" customWidth="1"/>
    <col min="7" max="7" width="61" style="60" customWidth="1"/>
    <col min="8" max="8" width="10.109375" customWidth="1"/>
    <col min="9" max="9" width="25.6640625" style="2" customWidth="1"/>
    <col min="10" max="10" width="25.6640625" style="1" customWidth="1"/>
    <col min="11" max="11" width="70.6640625" customWidth="1"/>
    <col min="12" max="16" width="25.6640625" customWidth="1"/>
    <col min="17" max="17" width="108.6640625" style="168" customWidth="1"/>
    <col min="18" max="22" width="16.109375" customWidth="1"/>
    <col min="23" max="23" width="73.44140625" customWidth="1"/>
    <col min="24" max="28" width="15.6640625" customWidth="1"/>
    <col min="29" max="29" width="72.6640625" customWidth="1"/>
    <col min="30" max="30" width="34.33203125" customWidth="1"/>
  </cols>
  <sheetData>
    <row r="1" spans="1:30" s="28" customFormat="1" ht="51.45" customHeight="1" thickTop="1" thickBot="1" x14ac:dyDescent="0.35">
      <c r="A1" s="153" t="s">
        <v>0</v>
      </c>
      <c r="B1" s="153" t="s">
        <v>1</v>
      </c>
      <c r="C1" s="153" t="s">
        <v>2</v>
      </c>
      <c r="D1" s="153" t="s">
        <v>3</v>
      </c>
      <c r="E1" s="153" t="s">
        <v>4</v>
      </c>
      <c r="F1" s="153" t="s">
        <v>5</v>
      </c>
      <c r="G1" s="153" t="s">
        <v>6</v>
      </c>
      <c r="H1" s="153" t="s">
        <v>7</v>
      </c>
      <c r="I1" s="153" t="s">
        <v>8</v>
      </c>
      <c r="J1" s="153" t="s">
        <v>9</v>
      </c>
      <c r="K1" s="160" t="s">
        <v>10</v>
      </c>
      <c r="L1" s="153" t="s">
        <v>11</v>
      </c>
      <c r="M1" s="153" t="s">
        <v>12</v>
      </c>
      <c r="N1" s="153" t="s">
        <v>13</v>
      </c>
      <c r="O1" s="153" t="s">
        <v>14</v>
      </c>
      <c r="P1" s="153" t="s">
        <v>15</v>
      </c>
      <c r="Q1" s="160" t="s">
        <v>16</v>
      </c>
      <c r="R1" s="153" t="s">
        <v>17</v>
      </c>
      <c r="S1" s="153" t="s">
        <v>18</v>
      </c>
      <c r="T1" s="153" t="s">
        <v>19</v>
      </c>
      <c r="U1" s="153" t="s">
        <v>20</v>
      </c>
      <c r="V1" s="153" t="s">
        <v>21</v>
      </c>
      <c r="W1" s="160" t="s">
        <v>22</v>
      </c>
      <c r="X1" s="153" t="s">
        <v>23</v>
      </c>
      <c r="Y1" s="153" t="s">
        <v>24</v>
      </c>
      <c r="Z1" s="153" t="s">
        <v>25</v>
      </c>
      <c r="AA1" s="153" t="s">
        <v>26</v>
      </c>
      <c r="AB1" s="153" t="s">
        <v>27</v>
      </c>
      <c r="AC1" s="160" t="s">
        <v>28</v>
      </c>
      <c r="AD1" s="28" t="s">
        <v>29</v>
      </c>
    </row>
    <row r="2" spans="1:30" ht="43.5" customHeight="1" thickTop="1" thickBot="1" x14ac:dyDescent="0.35">
      <c r="A2" s="408" t="s">
        <v>30</v>
      </c>
      <c r="B2" s="428">
        <v>0.2</v>
      </c>
      <c r="C2" s="429" t="s">
        <v>31</v>
      </c>
      <c r="D2" s="419">
        <f>$B$2/3</f>
        <v>6.6666666666666666E-2</v>
      </c>
      <c r="E2" s="418" t="s">
        <v>32</v>
      </c>
      <c r="F2" s="417">
        <f>$B$2/6</f>
        <v>3.3333333333333333E-2</v>
      </c>
      <c r="G2" s="56" t="s">
        <v>33</v>
      </c>
      <c r="H2" s="26">
        <v>1</v>
      </c>
      <c r="I2" s="349">
        <v>1</v>
      </c>
      <c r="J2" s="358">
        <f>I2*$F$2</f>
        <v>3.3333333333333333E-2</v>
      </c>
      <c r="K2" s="410" t="s">
        <v>196</v>
      </c>
      <c r="L2" s="349">
        <v>1</v>
      </c>
      <c r="M2" s="358">
        <f>L2*$F$2</f>
        <v>3.3333333333333333E-2</v>
      </c>
      <c r="N2" s="349">
        <v>1</v>
      </c>
      <c r="O2" s="358">
        <f>N2*$F$2</f>
        <v>3.3333333333333333E-2</v>
      </c>
      <c r="P2" s="358">
        <f>AVERAGE(M2,O2)</f>
        <v>3.3333333333333333E-2</v>
      </c>
      <c r="Q2" s="425" t="s">
        <v>123</v>
      </c>
      <c r="R2" s="349">
        <v>0.82499999999999996</v>
      </c>
      <c r="S2" s="358">
        <f>R2*$F$2</f>
        <v>2.7499999999999997E-2</v>
      </c>
      <c r="T2" s="349">
        <v>0.92300000000000004</v>
      </c>
      <c r="U2" s="358">
        <f>T2*$F$2</f>
        <v>3.0766666666666668E-2</v>
      </c>
      <c r="V2" s="350">
        <f>AVERAGE(S2,U2)</f>
        <v>2.9133333333333331E-2</v>
      </c>
      <c r="W2" s="407" t="s">
        <v>197</v>
      </c>
      <c r="X2" s="351">
        <v>1</v>
      </c>
      <c r="Y2" s="358">
        <f>X2*$F$2</f>
        <v>3.3333333333333333E-2</v>
      </c>
      <c r="Z2" s="349">
        <v>0.8</v>
      </c>
      <c r="AA2" s="358">
        <f>Z2*$F$2</f>
        <v>2.6666666666666668E-2</v>
      </c>
      <c r="AB2" s="350">
        <f>AVERAGE(Y2,AA2)</f>
        <v>0.03</v>
      </c>
      <c r="AC2" s="360" t="s">
        <v>198</v>
      </c>
      <c r="AD2" s="418" t="s">
        <v>38</v>
      </c>
    </row>
    <row r="3" spans="1:30" ht="35.25" customHeight="1" thickTop="1" thickBot="1" x14ac:dyDescent="0.35">
      <c r="A3" s="388"/>
      <c r="B3" s="341"/>
      <c r="C3" s="392"/>
      <c r="D3" s="341"/>
      <c r="E3" s="397"/>
      <c r="F3" s="341"/>
      <c r="G3" s="40" t="s">
        <v>39</v>
      </c>
      <c r="H3" s="26">
        <v>0.8</v>
      </c>
      <c r="I3" s="336"/>
      <c r="J3" s="336"/>
      <c r="K3" s="336"/>
      <c r="L3" s="336"/>
      <c r="M3" s="336"/>
      <c r="N3" s="336"/>
      <c r="O3" s="336"/>
      <c r="P3" s="336"/>
      <c r="Q3" s="336"/>
      <c r="R3" s="336"/>
      <c r="S3" s="336"/>
      <c r="T3" s="336"/>
      <c r="U3" s="336"/>
      <c r="V3" s="347"/>
      <c r="W3" s="361"/>
      <c r="X3" s="352"/>
      <c r="Y3" s="336"/>
      <c r="Z3" s="336"/>
      <c r="AA3" s="336"/>
      <c r="AB3" s="347"/>
      <c r="AC3" s="361"/>
      <c r="AD3" s="341"/>
    </row>
    <row r="4" spans="1:30" ht="51" customHeight="1" thickTop="1" thickBot="1" x14ac:dyDescent="0.35">
      <c r="A4" s="388"/>
      <c r="B4" s="341"/>
      <c r="C4" s="392"/>
      <c r="D4" s="341"/>
      <c r="E4" s="389"/>
      <c r="F4" s="389"/>
      <c r="G4" s="40" t="s">
        <v>40</v>
      </c>
      <c r="H4" s="25">
        <v>0</v>
      </c>
      <c r="I4" s="332"/>
      <c r="J4" s="332"/>
      <c r="K4" s="332"/>
      <c r="L4" s="332"/>
      <c r="M4" s="332"/>
      <c r="N4" s="332"/>
      <c r="O4" s="332"/>
      <c r="P4" s="332"/>
      <c r="Q4" s="332"/>
      <c r="R4" s="332"/>
      <c r="S4" s="332"/>
      <c r="T4" s="332"/>
      <c r="U4" s="332"/>
      <c r="V4" s="334"/>
      <c r="W4" s="362"/>
      <c r="X4" s="354"/>
      <c r="Y4" s="332"/>
      <c r="Z4" s="332"/>
      <c r="AA4" s="332"/>
      <c r="AB4" s="334"/>
      <c r="AC4" s="362"/>
      <c r="AD4" s="389"/>
    </row>
    <row r="5" spans="1:30" ht="65.400000000000006" customHeight="1" thickTop="1" thickBot="1" x14ac:dyDescent="0.35">
      <c r="A5" s="388"/>
      <c r="B5" s="341"/>
      <c r="C5" s="389"/>
      <c r="D5" s="389"/>
      <c r="E5" s="12" t="s">
        <v>41</v>
      </c>
      <c r="F5" s="24">
        <f>$B$2/6</f>
        <v>3.3333333333333333E-2</v>
      </c>
      <c r="G5" s="40" t="s">
        <v>42</v>
      </c>
      <c r="H5" s="23" t="s">
        <v>43</v>
      </c>
      <c r="I5" s="43">
        <v>1</v>
      </c>
      <c r="J5" s="48">
        <f>I5*$F$5</f>
        <v>3.3333333333333333E-2</v>
      </c>
      <c r="K5" s="45" t="s">
        <v>199</v>
      </c>
      <c r="L5" s="43">
        <v>1</v>
      </c>
      <c r="M5" s="48">
        <f>L5*$F$5</f>
        <v>3.3333333333333333E-2</v>
      </c>
      <c r="N5" s="43">
        <v>1</v>
      </c>
      <c r="O5" s="48">
        <f>N5*$F$5</f>
        <v>3.3333333333333333E-2</v>
      </c>
      <c r="P5" s="48">
        <f>AVERAGE(M5,O5)</f>
        <v>3.3333333333333333E-2</v>
      </c>
      <c r="Q5" s="78" t="s">
        <v>123</v>
      </c>
      <c r="R5" s="43">
        <v>1</v>
      </c>
      <c r="S5" s="48">
        <f>R5*$F$5</f>
        <v>3.3333333333333333E-2</v>
      </c>
      <c r="T5" s="43">
        <v>1</v>
      </c>
      <c r="U5" s="48">
        <f>T5*$F$5</f>
        <v>3.3333333333333333E-2</v>
      </c>
      <c r="V5" s="165">
        <f>AVERAGE(S5,U5)</f>
        <v>3.3333333333333333E-2</v>
      </c>
      <c r="W5" s="241" t="s">
        <v>125</v>
      </c>
      <c r="X5" s="201">
        <v>1</v>
      </c>
      <c r="Y5" s="48">
        <f>X5*$F$5</f>
        <v>3.3333333333333333E-2</v>
      </c>
      <c r="Z5" s="43">
        <v>1</v>
      </c>
      <c r="AA5" s="48">
        <f>Z5*$F$5</f>
        <v>3.3333333333333333E-2</v>
      </c>
      <c r="AB5" s="165">
        <f>AVERAGE(Y5,AA5)</f>
        <v>3.3333333333333333E-2</v>
      </c>
      <c r="AC5" s="231" t="s">
        <v>125</v>
      </c>
      <c r="AD5" s="12" t="s">
        <v>38</v>
      </c>
    </row>
    <row r="6" spans="1:30" ht="18.600000000000001" customHeight="1" thickTop="1" thickBot="1" x14ac:dyDescent="0.35">
      <c r="A6" s="388"/>
      <c r="B6" s="341"/>
      <c r="C6" s="391" t="s">
        <v>200</v>
      </c>
      <c r="D6" s="409">
        <f>$B$2/3</f>
        <v>6.6666666666666666E-2</v>
      </c>
      <c r="E6" s="393" t="s">
        <v>32</v>
      </c>
      <c r="F6" s="413">
        <f>$B$2/6</f>
        <v>3.3333333333333333E-2</v>
      </c>
      <c r="G6" s="40" t="s">
        <v>33</v>
      </c>
      <c r="H6" s="27">
        <v>1</v>
      </c>
      <c r="I6" s="359">
        <v>0.44</v>
      </c>
      <c r="J6" s="368">
        <f>I6*$F$6</f>
        <v>1.4666666666666666E-2</v>
      </c>
      <c r="K6" s="426" t="s">
        <v>201</v>
      </c>
      <c r="L6" s="359">
        <v>0.91659999999999997</v>
      </c>
      <c r="M6" s="368">
        <f>L6*$F$6</f>
        <v>3.0553333333333332E-2</v>
      </c>
      <c r="N6" s="359">
        <v>1</v>
      </c>
      <c r="O6" s="368">
        <f>N6*$F$6</f>
        <v>3.3333333333333333E-2</v>
      </c>
      <c r="P6" s="368">
        <f>AVERAGE(M6,O6)</f>
        <v>3.1943333333333331E-2</v>
      </c>
      <c r="Q6" s="356" t="s">
        <v>202</v>
      </c>
      <c r="R6" s="359">
        <v>1</v>
      </c>
      <c r="S6" s="368">
        <f>R6*$F$6</f>
        <v>3.3333333333333333E-2</v>
      </c>
      <c r="T6" s="359">
        <v>0.5</v>
      </c>
      <c r="U6" s="368">
        <f>T6*$F$6</f>
        <v>1.6666666666666666E-2</v>
      </c>
      <c r="V6" s="386">
        <f>AVERAGE(S6,U6)</f>
        <v>2.5000000000000001E-2</v>
      </c>
      <c r="W6" s="415" t="s">
        <v>203</v>
      </c>
      <c r="X6" s="366">
        <v>1</v>
      </c>
      <c r="Y6" s="368">
        <f>X6*$F$6</f>
        <v>3.3333333333333333E-2</v>
      </c>
      <c r="Z6" s="359">
        <v>1</v>
      </c>
      <c r="AA6" s="368">
        <f>Z6*$F$6</f>
        <v>3.3333333333333333E-2</v>
      </c>
      <c r="AB6" s="386">
        <f>AVERAGE(Y6,AA6)</f>
        <v>3.3333333333333333E-2</v>
      </c>
      <c r="AC6" s="431" t="s">
        <v>203</v>
      </c>
      <c r="AD6" s="393" t="s">
        <v>38</v>
      </c>
    </row>
    <row r="7" spans="1:30" ht="18.600000000000001" customHeight="1" thickTop="1" thickBot="1" x14ac:dyDescent="0.35">
      <c r="A7" s="388"/>
      <c r="B7" s="341"/>
      <c r="C7" s="392"/>
      <c r="D7" s="341"/>
      <c r="E7" s="397"/>
      <c r="F7" s="341"/>
      <c r="G7" s="40" t="s">
        <v>39</v>
      </c>
      <c r="H7" s="26">
        <v>0.8</v>
      </c>
      <c r="I7" s="336"/>
      <c r="J7" s="336"/>
      <c r="K7" s="336"/>
      <c r="L7" s="336"/>
      <c r="M7" s="336"/>
      <c r="N7" s="336"/>
      <c r="O7" s="336"/>
      <c r="P7" s="336"/>
      <c r="Q7" s="336"/>
      <c r="R7" s="336"/>
      <c r="S7" s="336"/>
      <c r="T7" s="336"/>
      <c r="U7" s="336"/>
      <c r="V7" s="347"/>
      <c r="W7" s="361"/>
      <c r="X7" s="352"/>
      <c r="Y7" s="336"/>
      <c r="Z7" s="336"/>
      <c r="AA7" s="336"/>
      <c r="AB7" s="347"/>
      <c r="AC7" s="361"/>
      <c r="AD7" s="341"/>
    </row>
    <row r="8" spans="1:30" ht="72" customHeight="1" thickTop="1" thickBot="1" x14ac:dyDescent="0.35">
      <c r="A8" s="388"/>
      <c r="B8" s="341"/>
      <c r="C8" s="392"/>
      <c r="D8" s="341"/>
      <c r="E8" s="389"/>
      <c r="F8" s="389"/>
      <c r="G8" s="40" t="s">
        <v>40</v>
      </c>
      <c r="H8" s="25">
        <v>0</v>
      </c>
      <c r="I8" s="332"/>
      <c r="J8" s="332"/>
      <c r="K8" s="332"/>
      <c r="L8" s="332"/>
      <c r="M8" s="332"/>
      <c r="N8" s="332"/>
      <c r="O8" s="332"/>
      <c r="P8" s="332"/>
      <c r="Q8" s="332"/>
      <c r="R8" s="332"/>
      <c r="S8" s="332"/>
      <c r="T8" s="332"/>
      <c r="U8" s="332"/>
      <c r="V8" s="334"/>
      <c r="W8" s="362"/>
      <c r="X8" s="354"/>
      <c r="Y8" s="332"/>
      <c r="Z8" s="332"/>
      <c r="AA8" s="332"/>
      <c r="AB8" s="334"/>
      <c r="AC8" s="362"/>
      <c r="AD8" s="389"/>
    </row>
    <row r="9" spans="1:30" ht="82.2" customHeight="1" thickTop="1" thickBot="1" x14ac:dyDescent="0.35">
      <c r="A9" s="388"/>
      <c r="B9" s="341"/>
      <c r="C9" s="389"/>
      <c r="D9" s="389"/>
      <c r="E9" s="12" t="s">
        <v>41</v>
      </c>
      <c r="F9" s="24">
        <f>$B$2/6</f>
        <v>3.3333333333333333E-2</v>
      </c>
      <c r="G9" s="40" t="s">
        <v>42</v>
      </c>
      <c r="H9" s="23" t="s">
        <v>43</v>
      </c>
      <c r="I9" s="43">
        <v>0.8</v>
      </c>
      <c r="J9" s="48">
        <f>I9*$F$9</f>
        <v>2.6666666666666668E-2</v>
      </c>
      <c r="K9" s="47" t="s">
        <v>204</v>
      </c>
      <c r="L9" s="43">
        <v>0.81659999999999999</v>
      </c>
      <c r="M9" s="48">
        <f>L9*$F$9</f>
        <v>2.7219999999999998E-2</v>
      </c>
      <c r="N9" s="43">
        <v>0.8</v>
      </c>
      <c r="O9" s="48">
        <f>N9*$F$9</f>
        <v>2.6666666666666668E-2</v>
      </c>
      <c r="P9" s="48">
        <f>AVERAGE(M9,O9)</f>
        <v>2.6943333333333333E-2</v>
      </c>
      <c r="Q9" s="71" t="s">
        <v>205</v>
      </c>
      <c r="R9" s="43">
        <v>0.55879999999999996</v>
      </c>
      <c r="S9" s="48">
        <f>R9*$F$9</f>
        <v>1.8626666666666666E-2</v>
      </c>
      <c r="T9" s="43">
        <v>0.58799999999999997</v>
      </c>
      <c r="U9" s="48">
        <f>T9*$F$9</f>
        <v>1.9599999999999999E-2</v>
      </c>
      <c r="V9" s="165">
        <f>AVERAGE(S9,U9)</f>
        <v>1.9113333333333333E-2</v>
      </c>
      <c r="W9" s="248" t="s">
        <v>206</v>
      </c>
      <c r="X9" s="201">
        <v>0.68420000000000003</v>
      </c>
      <c r="Y9" s="48">
        <f>X9*$F$9</f>
        <v>2.2806666666666666E-2</v>
      </c>
      <c r="Z9" s="43">
        <v>0.7</v>
      </c>
      <c r="AA9" s="48">
        <f>Z9*$F$9</f>
        <v>2.3333333333333331E-2</v>
      </c>
      <c r="AB9" s="165">
        <f>AVERAGE(Y9,AA9)</f>
        <v>2.307E-2</v>
      </c>
      <c r="AC9" s="232" t="s">
        <v>207</v>
      </c>
      <c r="AD9" s="12" t="s">
        <v>38</v>
      </c>
    </row>
    <row r="10" spans="1:30" ht="18.600000000000001" customHeight="1" thickTop="1" thickBot="1" x14ac:dyDescent="0.35">
      <c r="A10" s="388"/>
      <c r="B10" s="341"/>
      <c r="C10" s="391" t="s">
        <v>46</v>
      </c>
      <c r="D10" s="409">
        <f>$B$2/3</f>
        <v>6.6666666666666666E-2</v>
      </c>
      <c r="E10" s="393" t="s">
        <v>32</v>
      </c>
      <c r="F10" s="413">
        <f>$B$2/6</f>
        <v>3.3333333333333333E-2</v>
      </c>
      <c r="G10" s="40" t="s">
        <v>33</v>
      </c>
      <c r="H10" s="27">
        <v>1</v>
      </c>
      <c r="I10" s="359">
        <v>1</v>
      </c>
      <c r="J10" s="368">
        <f>I10*$F$10</f>
        <v>3.3333333333333333E-2</v>
      </c>
      <c r="K10" s="412" t="s">
        <v>208</v>
      </c>
      <c r="L10" s="359">
        <v>1</v>
      </c>
      <c r="M10" s="368">
        <f>L10*$F$10</f>
        <v>3.3333333333333333E-2</v>
      </c>
      <c r="N10" s="359">
        <v>1</v>
      </c>
      <c r="O10" s="368">
        <f>N10*$F$10</f>
        <v>3.3333333333333333E-2</v>
      </c>
      <c r="P10" s="368">
        <f>AVERAGE(M10,O10)</f>
        <v>3.3333333333333333E-2</v>
      </c>
      <c r="Q10" s="421" t="s">
        <v>168</v>
      </c>
      <c r="R10" s="359">
        <v>1</v>
      </c>
      <c r="S10" s="368">
        <f>R10*$F$10</f>
        <v>3.3333333333333333E-2</v>
      </c>
      <c r="T10" s="359">
        <v>1</v>
      </c>
      <c r="U10" s="368">
        <f>T10*$F$10</f>
        <v>3.3333333333333333E-2</v>
      </c>
      <c r="V10" s="386">
        <f>AVERAGE(S10,U10)</f>
        <v>3.3333333333333333E-2</v>
      </c>
      <c r="W10" s="427" t="s">
        <v>168</v>
      </c>
      <c r="X10" s="366">
        <v>1</v>
      </c>
      <c r="Y10" s="368">
        <f>X10*$F$10</f>
        <v>3.3333333333333333E-2</v>
      </c>
      <c r="Z10" s="359">
        <v>1</v>
      </c>
      <c r="AA10" s="368">
        <f>Z10*$F$10</f>
        <v>3.3333333333333333E-2</v>
      </c>
      <c r="AB10" s="386">
        <f>AVERAGE(Y10,AA10)</f>
        <v>3.3333333333333333E-2</v>
      </c>
      <c r="AC10" s="432" t="s">
        <v>168</v>
      </c>
      <c r="AD10" s="393" t="s">
        <v>38</v>
      </c>
    </row>
    <row r="11" spans="1:30" ht="18.600000000000001" customHeight="1" thickTop="1" thickBot="1" x14ac:dyDescent="0.35">
      <c r="A11" s="388"/>
      <c r="B11" s="341"/>
      <c r="C11" s="392"/>
      <c r="D11" s="341"/>
      <c r="E11" s="397"/>
      <c r="F11" s="341"/>
      <c r="G11" s="40" t="s">
        <v>39</v>
      </c>
      <c r="H11" s="26">
        <v>0.8</v>
      </c>
      <c r="I11" s="336"/>
      <c r="J11" s="336"/>
      <c r="K11" s="336"/>
      <c r="L11" s="336"/>
      <c r="M11" s="336"/>
      <c r="N11" s="336"/>
      <c r="O11" s="336"/>
      <c r="P11" s="336"/>
      <c r="Q11" s="336"/>
      <c r="R11" s="336"/>
      <c r="S11" s="336"/>
      <c r="T11" s="336"/>
      <c r="U11" s="336"/>
      <c r="V11" s="347"/>
      <c r="W11" s="361"/>
      <c r="X11" s="352"/>
      <c r="Y11" s="336"/>
      <c r="Z11" s="336"/>
      <c r="AA11" s="336"/>
      <c r="AB11" s="347"/>
      <c r="AC11" s="361"/>
      <c r="AD11" s="341"/>
    </row>
    <row r="12" spans="1:30" ht="46.2" customHeight="1" thickTop="1" thickBot="1" x14ac:dyDescent="0.35">
      <c r="A12" s="388"/>
      <c r="B12" s="341"/>
      <c r="C12" s="392"/>
      <c r="D12" s="341"/>
      <c r="E12" s="389"/>
      <c r="F12" s="389"/>
      <c r="G12" s="40" t="s">
        <v>40</v>
      </c>
      <c r="H12" s="25">
        <v>0.5</v>
      </c>
      <c r="I12" s="332"/>
      <c r="J12" s="332"/>
      <c r="K12" s="332"/>
      <c r="L12" s="332"/>
      <c r="M12" s="332"/>
      <c r="N12" s="332"/>
      <c r="O12" s="332"/>
      <c r="P12" s="332"/>
      <c r="Q12" s="332"/>
      <c r="R12" s="332"/>
      <c r="S12" s="332"/>
      <c r="T12" s="332"/>
      <c r="U12" s="332"/>
      <c r="V12" s="334"/>
      <c r="W12" s="362"/>
      <c r="X12" s="354"/>
      <c r="Y12" s="332"/>
      <c r="Z12" s="332"/>
      <c r="AA12" s="332"/>
      <c r="AB12" s="334"/>
      <c r="AC12" s="362"/>
      <c r="AD12" s="389"/>
    </row>
    <row r="13" spans="1:30" ht="126.75" customHeight="1" thickTop="1" thickBot="1" x14ac:dyDescent="0.35">
      <c r="A13" s="389"/>
      <c r="B13" s="389"/>
      <c r="C13" s="389"/>
      <c r="D13" s="389"/>
      <c r="E13" s="12" t="s">
        <v>41</v>
      </c>
      <c r="F13" s="24">
        <f>$B$2/6</f>
        <v>3.3333333333333333E-2</v>
      </c>
      <c r="G13" s="40" t="s">
        <v>42</v>
      </c>
      <c r="H13" s="23" t="s">
        <v>43</v>
      </c>
      <c r="I13" s="43">
        <v>1</v>
      </c>
      <c r="J13" s="48">
        <f>I13*$F$13</f>
        <v>3.3333333333333333E-2</v>
      </c>
      <c r="K13" s="47" t="s">
        <v>209</v>
      </c>
      <c r="L13" s="43">
        <v>1</v>
      </c>
      <c r="M13" s="48">
        <f>L13*$F$13</f>
        <v>3.3333333333333333E-2</v>
      </c>
      <c r="N13" s="43">
        <v>1</v>
      </c>
      <c r="O13" s="48">
        <f>N13*$F$13</f>
        <v>3.3333333333333333E-2</v>
      </c>
      <c r="P13" s="165">
        <f t="shared" ref="P13:P21" si="0">AVERAGE(M13,O13)</f>
        <v>3.3333333333333333E-2</v>
      </c>
      <c r="Q13" s="78" t="s">
        <v>170</v>
      </c>
      <c r="R13" s="43">
        <v>1</v>
      </c>
      <c r="S13" s="48">
        <f>R13*$F$13</f>
        <v>3.3333333333333333E-2</v>
      </c>
      <c r="T13" s="43">
        <v>1</v>
      </c>
      <c r="U13" s="48">
        <f>T13*$F$13</f>
        <v>3.3333333333333333E-2</v>
      </c>
      <c r="V13" s="165">
        <f>AVERAGE(S13,U13)</f>
        <v>3.3333333333333333E-2</v>
      </c>
      <c r="W13" s="241" t="s">
        <v>170</v>
      </c>
      <c r="X13" s="182">
        <v>1</v>
      </c>
      <c r="Y13" s="147">
        <f>X13*$F$13</f>
        <v>3.3333333333333333E-2</v>
      </c>
      <c r="Z13" s="151">
        <v>1</v>
      </c>
      <c r="AA13" s="147">
        <f>Z13*$F$13</f>
        <v>3.3333333333333333E-2</v>
      </c>
      <c r="AB13" s="161">
        <f>AVERAGE(Y13,AA13)</f>
        <v>3.3333333333333333E-2</v>
      </c>
      <c r="AC13" s="250" t="s">
        <v>170</v>
      </c>
      <c r="AD13" s="12" t="s">
        <v>38</v>
      </c>
    </row>
    <row r="14" spans="1:30" ht="118.2" customHeight="1" thickTop="1" thickBot="1" x14ac:dyDescent="0.35">
      <c r="A14" s="422" t="s">
        <v>55</v>
      </c>
      <c r="B14" s="414">
        <v>0.25</v>
      </c>
      <c r="C14" s="30" t="s">
        <v>31</v>
      </c>
      <c r="D14" s="20">
        <v>0.05</v>
      </c>
      <c r="E14" s="10" t="s">
        <v>56</v>
      </c>
      <c r="F14" s="20">
        <v>0.05</v>
      </c>
      <c r="G14" s="32" t="s">
        <v>57</v>
      </c>
      <c r="H14" s="19" t="s">
        <v>43</v>
      </c>
      <c r="I14" s="43">
        <v>1</v>
      </c>
      <c r="J14" s="48">
        <f>I14*$F$14</f>
        <v>0.05</v>
      </c>
      <c r="K14" s="45" t="s">
        <v>210</v>
      </c>
      <c r="L14" s="43">
        <v>1</v>
      </c>
      <c r="M14" s="48">
        <f>L14*$F$14</f>
        <v>0.05</v>
      </c>
      <c r="N14" s="43">
        <v>1</v>
      </c>
      <c r="O14" s="48">
        <f>N14*$F$14</f>
        <v>0.05</v>
      </c>
      <c r="P14" s="48">
        <f t="shared" si="0"/>
        <v>0.05</v>
      </c>
      <c r="Q14" s="78" t="s">
        <v>134</v>
      </c>
      <c r="R14" s="43">
        <v>0.91249999999999998</v>
      </c>
      <c r="S14" s="48">
        <f>R14*$F$14</f>
        <v>4.5624999999999999E-2</v>
      </c>
      <c r="T14" s="43">
        <v>0.96150000000000002</v>
      </c>
      <c r="U14" s="48">
        <f>T14*$F$14</f>
        <v>4.8075000000000007E-2</v>
      </c>
      <c r="V14" s="165">
        <f>AVERAGE(S14,U14)</f>
        <v>4.6850000000000003E-2</v>
      </c>
      <c r="W14" s="241" t="s">
        <v>211</v>
      </c>
      <c r="X14" s="182">
        <v>1</v>
      </c>
      <c r="Y14" s="147">
        <f>X14*$F$14</f>
        <v>0.05</v>
      </c>
      <c r="Z14" s="151">
        <v>0.9</v>
      </c>
      <c r="AA14" s="147">
        <f>Z14*$F$14</f>
        <v>4.5000000000000005E-2</v>
      </c>
      <c r="AB14" s="161">
        <f>AVERAGE(Y14,AA14)</f>
        <v>4.7500000000000001E-2</v>
      </c>
      <c r="AC14" s="233" t="s">
        <v>212</v>
      </c>
      <c r="AD14" s="10" t="s">
        <v>38</v>
      </c>
    </row>
    <row r="15" spans="1:30" ht="175.95" customHeight="1" thickTop="1" thickBot="1" x14ac:dyDescent="0.35">
      <c r="A15" s="388"/>
      <c r="B15" s="341"/>
      <c r="C15" s="30" t="s">
        <v>200</v>
      </c>
      <c r="D15" s="20">
        <v>0.05</v>
      </c>
      <c r="E15" s="10" t="s">
        <v>213</v>
      </c>
      <c r="F15" s="20">
        <v>0.05</v>
      </c>
      <c r="G15" s="55" t="s">
        <v>214</v>
      </c>
      <c r="H15" s="19" t="s">
        <v>43</v>
      </c>
      <c r="I15" s="43">
        <v>0.6038</v>
      </c>
      <c r="J15" s="48">
        <f>I15*$F$15</f>
        <v>3.0190000000000002E-2</v>
      </c>
      <c r="K15" s="46" t="s">
        <v>215</v>
      </c>
      <c r="L15" s="43">
        <v>0.5575</v>
      </c>
      <c r="M15" s="48">
        <f>L15*$F$15</f>
        <v>2.7875E-2</v>
      </c>
      <c r="N15" s="43">
        <v>0.53129999999999999</v>
      </c>
      <c r="O15" s="48">
        <f>N15*$F$15</f>
        <v>2.6565000000000002E-2</v>
      </c>
      <c r="P15" s="48">
        <f t="shared" si="0"/>
        <v>2.7220000000000001E-2</v>
      </c>
      <c r="Q15" s="71" t="s">
        <v>216</v>
      </c>
      <c r="R15" s="43">
        <v>0.54379999999999995</v>
      </c>
      <c r="S15" s="48">
        <f>R15*$F$15</f>
        <v>2.7189999999999999E-2</v>
      </c>
      <c r="T15" s="43">
        <v>0.35899999999999999</v>
      </c>
      <c r="U15" s="48">
        <f>T15*$F$15</f>
        <v>1.7950000000000001E-2</v>
      </c>
      <c r="V15" s="165">
        <f>AVERAGE(S15,U15)</f>
        <v>2.257E-2</v>
      </c>
      <c r="W15" s="248" t="s">
        <v>217</v>
      </c>
      <c r="X15" s="182">
        <v>0.55079999999999996</v>
      </c>
      <c r="Y15" s="147">
        <f>X15*$F$15</f>
        <v>2.7539999999999999E-2</v>
      </c>
      <c r="Z15" s="151">
        <v>0.58330000000000004</v>
      </c>
      <c r="AA15" s="147">
        <f>Z15*$F$15</f>
        <v>2.9165000000000003E-2</v>
      </c>
      <c r="AB15" s="161">
        <f>AVERAGE(Y15,AA15)</f>
        <v>2.8352500000000003E-2</v>
      </c>
      <c r="AC15" s="234" t="s">
        <v>217</v>
      </c>
      <c r="AD15" s="10" t="s">
        <v>38</v>
      </c>
    </row>
    <row r="16" spans="1:30" ht="70.2" customHeight="1" thickTop="1" thickBot="1" x14ac:dyDescent="0.35">
      <c r="A16" s="388"/>
      <c r="B16" s="341"/>
      <c r="C16" s="30" t="s">
        <v>135</v>
      </c>
      <c r="D16" s="20">
        <v>0.05</v>
      </c>
      <c r="E16" s="10" t="s">
        <v>136</v>
      </c>
      <c r="F16" s="20">
        <v>0.05</v>
      </c>
      <c r="G16" s="40" t="s">
        <v>137</v>
      </c>
      <c r="H16" s="19" t="s">
        <v>43</v>
      </c>
      <c r="I16" s="43">
        <v>0.52</v>
      </c>
      <c r="J16" s="48">
        <f>I16*$F$16</f>
        <v>2.6000000000000002E-2</v>
      </c>
      <c r="K16" s="47" t="s">
        <v>218</v>
      </c>
      <c r="L16" s="43">
        <v>0.75</v>
      </c>
      <c r="M16" s="48">
        <f>L16*$F$16</f>
        <v>3.7500000000000006E-2</v>
      </c>
      <c r="N16" s="43">
        <v>0.75</v>
      </c>
      <c r="O16" s="48">
        <f>N16*$F$16</f>
        <v>3.7500000000000006E-2</v>
      </c>
      <c r="P16" s="48">
        <f t="shared" si="0"/>
        <v>3.7500000000000006E-2</v>
      </c>
      <c r="Q16" s="78" t="s">
        <v>175</v>
      </c>
      <c r="R16" s="420">
        <v>0.75</v>
      </c>
      <c r="S16" s="364"/>
      <c r="T16" s="364"/>
      <c r="U16" s="365"/>
      <c r="V16" s="165">
        <f>R16*D16</f>
        <v>3.7500000000000006E-2</v>
      </c>
      <c r="W16" s="241" t="s">
        <v>219</v>
      </c>
      <c r="X16" s="430">
        <v>0.75</v>
      </c>
      <c r="Y16" s="353"/>
      <c r="Z16" s="353"/>
      <c r="AA16" s="354"/>
      <c r="AB16" s="202">
        <f>X16*F16</f>
        <v>3.7500000000000006E-2</v>
      </c>
      <c r="AC16" s="241" t="s">
        <v>220</v>
      </c>
      <c r="AD16" s="10" t="s">
        <v>82</v>
      </c>
    </row>
    <row r="17" spans="1:30" ht="103.2" customHeight="1" thickTop="1" thickBot="1" x14ac:dyDescent="0.35">
      <c r="A17" s="388"/>
      <c r="B17" s="341"/>
      <c r="C17" s="29" t="s">
        <v>142</v>
      </c>
      <c r="D17" s="22">
        <v>0.05</v>
      </c>
      <c r="E17" s="12" t="s">
        <v>143</v>
      </c>
      <c r="F17" s="22">
        <v>0.05</v>
      </c>
      <c r="G17" s="56" t="s">
        <v>144</v>
      </c>
      <c r="H17" s="21" t="s">
        <v>43</v>
      </c>
      <c r="I17" s="43">
        <v>1</v>
      </c>
      <c r="J17" s="48">
        <f>I17*$F$17</f>
        <v>0.05</v>
      </c>
      <c r="K17" s="45" t="s">
        <v>221</v>
      </c>
      <c r="L17" s="43">
        <v>1</v>
      </c>
      <c r="M17" s="48">
        <f>L17*$F$17</f>
        <v>0.05</v>
      </c>
      <c r="N17" s="43">
        <v>1</v>
      </c>
      <c r="O17" s="48">
        <f>N17*$F$17</f>
        <v>0.05</v>
      </c>
      <c r="P17" s="48">
        <f t="shared" si="0"/>
        <v>0.05</v>
      </c>
      <c r="Q17" s="78" t="s">
        <v>222</v>
      </c>
      <c r="R17" s="43">
        <v>1</v>
      </c>
      <c r="S17" s="48">
        <f>R17*$F$17</f>
        <v>0.05</v>
      </c>
      <c r="T17" s="43">
        <v>1</v>
      </c>
      <c r="U17" s="48">
        <f>T17*$F$17</f>
        <v>0.05</v>
      </c>
      <c r="V17" s="165">
        <f>AVERAGE(S17,U17)</f>
        <v>0.05</v>
      </c>
      <c r="W17" s="241" t="s">
        <v>222</v>
      </c>
      <c r="X17" s="201">
        <v>1</v>
      </c>
      <c r="Y17" s="48">
        <f>X17*$F$17</f>
        <v>0.05</v>
      </c>
      <c r="Z17" s="43">
        <v>1</v>
      </c>
      <c r="AA17" s="48">
        <f>Z17*$F$17</f>
        <v>0.05</v>
      </c>
      <c r="AB17" s="165">
        <f>AVERAGE(Y17,AA17)</f>
        <v>0.05</v>
      </c>
      <c r="AC17" s="241" t="s">
        <v>222</v>
      </c>
      <c r="AD17" s="12" t="s">
        <v>38</v>
      </c>
    </row>
    <row r="18" spans="1:30" ht="102.6" customHeight="1" thickTop="1" thickBot="1" x14ac:dyDescent="0.35">
      <c r="A18" s="388"/>
      <c r="B18" s="341"/>
      <c r="C18" s="30" t="s">
        <v>60</v>
      </c>
      <c r="D18" s="20">
        <v>0.03</v>
      </c>
      <c r="E18" s="10" t="s">
        <v>61</v>
      </c>
      <c r="F18" s="20">
        <v>0.03</v>
      </c>
      <c r="G18" s="40" t="s">
        <v>62</v>
      </c>
      <c r="H18" s="19" t="s">
        <v>43</v>
      </c>
      <c r="I18" s="43">
        <v>0.82350000000000001</v>
      </c>
      <c r="J18" s="48">
        <f>I18*$F$18</f>
        <v>2.4704999999999998E-2</v>
      </c>
      <c r="K18" s="47" t="s">
        <v>223</v>
      </c>
      <c r="L18" s="43">
        <v>0.76470000000000005</v>
      </c>
      <c r="M18" s="54">
        <f>L18*$F$18</f>
        <v>2.2941E-2</v>
      </c>
      <c r="N18" s="43">
        <v>0.75</v>
      </c>
      <c r="O18" s="48">
        <f>N18*$F$18</f>
        <v>2.2499999999999999E-2</v>
      </c>
      <c r="P18" s="48">
        <f t="shared" si="0"/>
        <v>2.2720499999999998E-2</v>
      </c>
      <c r="Q18" s="190" t="s">
        <v>224</v>
      </c>
      <c r="R18" s="43">
        <v>0.66669999999999996</v>
      </c>
      <c r="S18" s="54">
        <f>R18*$F$18</f>
        <v>2.0000999999999998E-2</v>
      </c>
      <c r="T18" s="43">
        <v>0.74199999999999999</v>
      </c>
      <c r="U18" s="48">
        <f>T18*$F$18</f>
        <v>2.2259999999999999E-2</v>
      </c>
      <c r="V18" s="165">
        <f>AVERAGE(S18,U18)</f>
        <v>2.1130499999999997E-2</v>
      </c>
      <c r="W18" s="230" t="s">
        <v>225</v>
      </c>
      <c r="X18" s="201">
        <v>0.75</v>
      </c>
      <c r="Y18" s="48">
        <f>X18*$F$18</f>
        <v>2.2499999999999999E-2</v>
      </c>
      <c r="Z18" s="43">
        <v>0.79320000000000002</v>
      </c>
      <c r="AA18" s="48">
        <f>Z18*$F$18</f>
        <v>2.3796000000000001E-2</v>
      </c>
      <c r="AB18" s="165">
        <f>AVERAGE(Y18,AA18)</f>
        <v>2.3148000000000002E-2</v>
      </c>
      <c r="AC18" s="238" t="s">
        <v>226</v>
      </c>
      <c r="AD18" s="10" t="s">
        <v>38</v>
      </c>
    </row>
    <row r="19" spans="1:30" ht="131.25" customHeight="1" thickTop="1" thickBot="1" x14ac:dyDescent="0.35">
      <c r="A19" s="389"/>
      <c r="B19" s="389"/>
      <c r="C19" s="31" t="s">
        <v>67</v>
      </c>
      <c r="D19" s="17">
        <v>0.02</v>
      </c>
      <c r="E19" s="18" t="s">
        <v>68</v>
      </c>
      <c r="F19" s="17">
        <v>0.02</v>
      </c>
      <c r="G19" s="57" t="s">
        <v>69</v>
      </c>
      <c r="H19" s="4" t="s">
        <v>43</v>
      </c>
      <c r="I19" s="43">
        <v>0.36359999999999998</v>
      </c>
      <c r="J19" s="48">
        <f>I19*$F$19</f>
        <v>7.2719999999999998E-3</v>
      </c>
      <c r="K19" s="47" t="s">
        <v>227</v>
      </c>
      <c r="L19" s="43">
        <v>0.37780000000000002</v>
      </c>
      <c r="M19" s="48">
        <f>L19*$F$19</f>
        <v>7.5560000000000011E-3</v>
      </c>
      <c r="N19" s="43">
        <v>0.42549999999999999</v>
      </c>
      <c r="O19" s="174">
        <f>N19*$F$19</f>
        <v>8.5100000000000002E-3</v>
      </c>
      <c r="P19" s="174">
        <f t="shared" si="0"/>
        <v>8.0330000000000002E-3</v>
      </c>
      <c r="Q19" s="189" t="s">
        <v>228</v>
      </c>
      <c r="R19" s="43">
        <v>0.3589</v>
      </c>
      <c r="S19" s="48">
        <f>R19*$F$19</f>
        <v>7.1780000000000004E-3</v>
      </c>
      <c r="T19" s="43">
        <v>0.43580000000000002</v>
      </c>
      <c r="U19" s="174">
        <f>T19*$F$19</f>
        <v>8.7159999999999998E-3</v>
      </c>
      <c r="V19" s="247">
        <f>AVERAGE(S19,U19)</f>
        <v>7.9469999999999992E-3</v>
      </c>
      <c r="W19" s="249" t="s">
        <v>229</v>
      </c>
      <c r="X19" s="201">
        <v>0.39529999999999998</v>
      </c>
      <c r="Y19" s="48">
        <f>F19*X19</f>
        <v>7.9059999999999998E-3</v>
      </c>
      <c r="Z19" s="43">
        <v>0.44180000000000003</v>
      </c>
      <c r="AA19" s="48">
        <f>Z19*$F$19</f>
        <v>8.8360000000000001E-3</v>
      </c>
      <c r="AB19" s="165">
        <f>AVERAGE(Y19,AA19)</f>
        <v>8.371E-3</v>
      </c>
      <c r="AC19" s="249" t="s">
        <v>230</v>
      </c>
      <c r="AD19" s="18" t="s">
        <v>38</v>
      </c>
    </row>
    <row r="20" spans="1:30" ht="123" customHeight="1" thickTop="1" thickBot="1" x14ac:dyDescent="0.35">
      <c r="A20" s="422" t="s">
        <v>74</v>
      </c>
      <c r="B20" s="414">
        <v>0.25</v>
      </c>
      <c r="C20" s="390" t="s">
        <v>75</v>
      </c>
      <c r="D20" s="416">
        <f>B20</f>
        <v>0.25</v>
      </c>
      <c r="E20" s="10" t="s">
        <v>76</v>
      </c>
      <c r="F20" s="42">
        <f>D20*0.8</f>
        <v>0.2</v>
      </c>
      <c r="G20" s="40" t="s">
        <v>77</v>
      </c>
      <c r="H20" s="8" t="s">
        <v>43</v>
      </c>
      <c r="I20" s="43">
        <v>1</v>
      </c>
      <c r="J20" s="48">
        <f>I20*$F$20</f>
        <v>0.2</v>
      </c>
      <c r="K20" s="137" t="s">
        <v>231</v>
      </c>
      <c r="L20" s="43">
        <v>1</v>
      </c>
      <c r="M20" s="48">
        <f>L20*$F$20</f>
        <v>0.2</v>
      </c>
      <c r="N20" s="43">
        <v>1</v>
      </c>
      <c r="O20" s="174">
        <f>N20*$F$20</f>
        <v>0.2</v>
      </c>
      <c r="P20" s="174">
        <f t="shared" si="0"/>
        <v>0.2</v>
      </c>
      <c r="Q20" s="424" t="s">
        <v>232</v>
      </c>
      <c r="R20" s="359">
        <v>1</v>
      </c>
      <c r="S20" s="364"/>
      <c r="T20" s="364"/>
      <c r="U20" s="365"/>
      <c r="V20" s="247">
        <f>R20*F20</f>
        <v>0.2</v>
      </c>
      <c r="W20" s="411" t="s">
        <v>233</v>
      </c>
      <c r="X20" s="366">
        <v>1</v>
      </c>
      <c r="Y20" s="364"/>
      <c r="Z20" s="364"/>
      <c r="AA20" s="365"/>
      <c r="AB20" s="165">
        <f>X20*F20</f>
        <v>0.2</v>
      </c>
      <c r="AC20" s="379" t="s">
        <v>234</v>
      </c>
      <c r="AD20" s="10" t="s">
        <v>82</v>
      </c>
    </row>
    <row r="21" spans="1:30" ht="123" customHeight="1" thickTop="1" thickBot="1" x14ac:dyDescent="0.35">
      <c r="A21" s="389"/>
      <c r="B21" s="389"/>
      <c r="C21" s="389"/>
      <c r="D21" s="389"/>
      <c r="E21" s="12" t="s">
        <v>83</v>
      </c>
      <c r="F21" s="15">
        <f>D20*0.2</f>
        <v>0.05</v>
      </c>
      <c r="G21" s="56" t="s">
        <v>84</v>
      </c>
      <c r="H21" s="11" t="s">
        <v>43</v>
      </c>
      <c r="I21" s="43">
        <v>0</v>
      </c>
      <c r="J21" s="48">
        <f>I21*$F$21</f>
        <v>0</v>
      </c>
      <c r="K21" s="62" t="s">
        <v>235</v>
      </c>
      <c r="L21" s="43">
        <v>0.16669999999999999</v>
      </c>
      <c r="M21" s="48">
        <f>L21*$F$21</f>
        <v>8.3350000000000004E-3</v>
      </c>
      <c r="N21" s="43">
        <v>0</v>
      </c>
      <c r="O21" s="174">
        <f>N21*$F$21</f>
        <v>0</v>
      </c>
      <c r="P21" s="174">
        <f t="shared" si="0"/>
        <v>4.1675000000000002E-3</v>
      </c>
      <c r="Q21" s="332"/>
      <c r="R21" s="359">
        <v>1</v>
      </c>
      <c r="S21" s="364"/>
      <c r="T21" s="364"/>
      <c r="U21" s="365"/>
      <c r="V21" s="247">
        <f>R21*F21</f>
        <v>0.05</v>
      </c>
      <c r="W21" s="362"/>
      <c r="X21" s="366">
        <v>0.66669999999999996</v>
      </c>
      <c r="Y21" s="364"/>
      <c r="Z21" s="364"/>
      <c r="AA21" s="365"/>
      <c r="AB21" s="165">
        <f>X21*F21</f>
        <v>3.3334999999999997E-2</v>
      </c>
      <c r="AC21" s="362"/>
      <c r="AD21" s="12" t="s">
        <v>82</v>
      </c>
    </row>
    <row r="22" spans="1:30" ht="66" customHeight="1" thickTop="1" thickBot="1" x14ac:dyDescent="0.35">
      <c r="A22" s="422" t="s">
        <v>86</v>
      </c>
      <c r="B22" s="414">
        <v>0.3</v>
      </c>
      <c r="C22" s="390" t="s">
        <v>87</v>
      </c>
      <c r="D22" s="416">
        <f>$B$22/2</f>
        <v>0.15</v>
      </c>
      <c r="E22" s="393" t="s">
        <v>88</v>
      </c>
      <c r="F22" s="416">
        <f>$B$22/2</f>
        <v>0.15</v>
      </c>
      <c r="G22" s="58" t="s">
        <v>89</v>
      </c>
      <c r="H22" s="8">
        <v>1</v>
      </c>
      <c r="I22" s="359">
        <v>1</v>
      </c>
      <c r="J22" s="368">
        <f>I22*$F$22</f>
        <v>0.15</v>
      </c>
      <c r="K22" s="412" t="s">
        <v>236</v>
      </c>
      <c r="L22" s="359">
        <v>1</v>
      </c>
      <c r="M22" s="346"/>
      <c r="N22" s="346"/>
      <c r="O22" s="396"/>
      <c r="P22" s="368">
        <f>L22*$F22</f>
        <v>0.15</v>
      </c>
      <c r="Q22" s="369" t="s">
        <v>91</v>
      </c>
      <c r="R22" s="359">
        <v>1</v>
      </c>
      <c r="S22" s="346"/>
      <c r="T22" s="346"/>
      <c r="U22" s="396"/>
      <c r="V22" s="386">
        <f>R22*$F22</f>
        <v>0.15</v>
      </c>
      <c r="W22" s="399" t="s">
        <v>92</v>
      </c>
      <c r="X22" s="423">
        <v>1</v>
      </c>
      <c r="Y22" s="346"/>
      <c r="Z22" s="346"/>
      <c r="AA22" s="396"/>
      <c r="AB22" s="386">
        <f>X22*$F22</f>
        <v>0.15</v>
      </c>
      <c r="AC22" s="399" t="s">
        <v>92</v>
      </c>
      <c r="AD22" s="393" t="s">
        <v>93</v>
      </c>
    </row>
    <row r="23" spans="1:30" ht="66" customHeight="1" thickTop="1" thickBot="1" x14ac:dyDescent="0.35">
      <c r="A23" s="388"/>
      <c r="B23" s="341"/>
      <c r="C23" s="389"/>
      <c r="D23" s="389"/>
      <c r="E23" s="389"/>
      <c r="F23" s="389"/>
      <c r="G23" s="59" t="s">
        <v>94</v>
      </c>
      <c r="H23" s="11">
        <v>0</v>
      </c>
      <c r="I23" s="332"/>
      <c r="J23" s="332"/>
      <c r="K23" s="332"/>
      <c r="L23" s="334"/>
      <c r="M23" s="353"/>
      <c r="N23" s="353"/>
      <c r="O23" s="354"/>
      <c r="P23" s="332"/>
      <c r="Q23" s="332"/>
      <c r="R23" s="334"/>
      <c r="S23" s="353"/>
      <c r="T23" s="353"/>
      <c r="U23" s="354"/>
      <c r="V23" s="334"/>
      <c r="W23" s="362"/>
      <c r="X23" s="353"/>
      <c r="Y23" s="353"/>
      <c r="Z23" s="353"/>
      <c r="AA23" s="354"/>
      <c r="AB23" s="334"/>
      <c r="AC23" s="362"/>
      <c r="AD23" s="389"/>
    </row>
    <row r="24" spans="1:30" ht="82.2" customHeight="1" thickTop="1" thickBot="1" x14ac:dyDescent="0.35">
      <c r="A24" s="389"/>
      <c r="B24" s="389"/>
      <c r="C24" s="37" t="s">
        <v>95</v>
      </c>
      <c r="D24" s="8">
        <v>0.15</v>
      </c>
      <c r="E24" s="9" t="s">
        <v>96</v>
      </c>
      <c r="F24" s="8">
        <v>0.15</v>
      </c>
      <c r="G24" s="40" t="s">
        <v>97</v>
      </c>
      <c r="H24" s="8">
        <v>1</v>
      </c>
      <c r="I24" s="43">
        <v>0.1191</v>
      </c>
      <c r="J24" s="48">
        <f>I24*$F$24</f>
        <v>1.7864999999999999E-2</v>
      </c>
      <c r="K24" s="47" t="s">
        <v>237</v>
      </c>
      <c r="L24" s="359">
        <v>0.1898</v>
      </c>
      <c r="M24" s="364"/>
      <c r="N24" s="364"/>
      <c r="O24" s="365"/>
      <c r="P24" s="48">
        <f>L24*$F24</f>
        <v>2.8469999999999999E-2</v>
      </c>
      <c r="Q24" s="78" t="s">
        <v>238</v>
      </c>
      <c r="R24" s="359">
        <v>0.46400000000000002</v>
      </c>
      <c r="S24" s="364"/>
      <c r="T24" s="364"/>
      <c r="U24" s="365"/>
      <c r="V24" s="165">
        <f>R24*$F24</f>
        <v>6.9599999999999995E-2</v>
      </c>
      <c r="W24" s="242" t="s">
        <v>239</v>
      </c>
      <c r="X24" s="423">
        <v>0.76</v>
      </c>
      <c r="Y24" s="364"/>
      <c r="Z24" s="364"/>
      <c r="AA24" s="365"/>
      <c r="AB24" s="165">
        <f>X24*$F24</f>
        <v>0.11399999999999999</v>
      </c>
      <c r="AC24" s="237" t="s">
        <v>240</v>
      </c>
      <c r="AD24" s="10" t="s">
        <v>93</v>
      </c>
    </row>
    <row r="25" spans="1:30" ht="26.7" customHeight="1" thickTop="1" x14ac:dyDescent="0.3">
      <c r="I25" s="7" t="s">
        <v>102</v>
      </c>
      <c r="J25" s="6">
        <f>SUM(J2:J24)</f>
        <v>0.73069866666666672</v>
      </c>
      <c r="O25" s="7" t="s">
        <v>102</v>
      </c>
      <c r="P25" s="6">
        <f>SUM(P2:P24)</f>
        <v>0.77033099999999999</v>
      </c>
      <c r="Q25" s="88"/>
      <c r="U25" s="7" t="s">
        <v>102</v>
      </c>
      <c r="V25" s="6">
        <f>SUM(V2:V24)</f>
        <v>0.82884416666666672</v>
      </c>
      <c r="W25" s="88"/>
      <c r="AA25" s="7" t="s">
        <v>102</v>
      </c>
      <c r="AB25" s="6">
        <f>SUM(AB2:AB24)</f>
        <v>0.87860983333333331</v>
      </c>
    </row>
    <row r="26" spans="1:30" ht="26.7" customHeight="1" x14ac:dyDescent="0.4">
      <c r="Q26" s="88"/>
    </row>
    <row r="27" spans="1:30" x14ac:dyDescent="0.4">
      <c r="Q27" s="88"/>
    </row>
    <row r="28" spans="1:30" x14ac:dyDescent="0.4">
      <c r="Q28" s="88"/>
    </row>
  </sheetData>
  <mergeCells count="117">
    <mergeCell ref="B22:B24"/>
    <mergeCell ref="B2:B13"/>
    <mergeCell ref="U2:U4"/>
    <mergeCell ref="L22:O23"/>
    <mergeCell ref="C2:C5"/>
    <mergeCell ref="X21:AA21"/>
    <mergeCell ref="R2:R4"/>
    <mergeCell ref="O6:O8"/>
    <mergeCell ref="U6:U8"/>
    <mergeCell ref="X16:AA16"/>
    <mergeCell ref="J10:J12"/>
    <mergeCell ref="B20:B21"/>
    <mergeCell ref="L24:O24"/>
    <mergeCell ref="R24:U24"/>
    <mergeCell ref="X24:AA24"/>
    <mergeCell ref="T6:T8"/>
    <mergeCell ref="P22:P23"/>
    <mergeCell ref="Q6:Q8"/>
    <mergeCell ref="T2:T4"/>
    <mergeCell ref="Z10:Z12"/>
    <mergeCell ref="N6:N8"/>
    <mergeCell ref="A20:A21"/>
    <mergeCell ref="J22:J23"/>
    <mergeCell ref="X22:AA23"/>
    <mergeCell ref="P6:P8"/>
    <mergeCell ref="S2:S4"/>
    <mergeCell ref="AA10:AA12"/>
    <mergeCell ref="V22:V23"/>
    <mergeCell ref="M6:M8"/>
    <mergeCell ref="R21:U21"/>
    <mergeCell ref="V6:V8"/>
    <mergeCell ref="Y2:Y4"/>
    <mergeCell ref="A14:A19"/>
    <mergeCell ref="X20:AA20"/>
    <mergeCell ref="Y6:Y8"/>
    <mergeCell ref="C20:C21"/>
    <mergeCell ref="W2:W4"/>
    <mergeCell ref="O2:O4"/>
    <mergeCell ref="Q20:Q21"/>
    <mergeCell ref="Q2:Q4"/>
    <mergeCell ref="A22:A24"/>
    <mergeCell ref="C22:C23"/>
    <mergeCell ref="I6:I8"/>
    <mergeCell ref="K6:K8"/>
    <mergeCell ref="Q22:Q23"/>
    <mergeCell ref="I2:I4"/>
    <mergeCell ref="R22:U23"/>
    <mergeCell ref="R16:U16"/>
    <mergeCell ref="AA6:AA8"/>
    <mergeCell ref="J6:J8"/>
    <mergeCell ref="M10:M12"/>
    <mergeCell ref="AD22:AD23"/>
    <mergeCell ref="X6:X8"/>
    <mergeCell ref="E10:E12"/>
    <mergeCell ref="Y10:Y12"/>
    <mergeCell ref="Q10:Q12"/>
    <mergeCell ref="S10:S12"/>
    <mergeCell ref="I10:I12"/>
    <mergeCell ref="V2:V4"/>
    <mergeCell ref="X2:X4"/>
    <mergeCell ref="U10:U12"/>
    <mergeCell ref="W10:W12"/>
    <mergeCell ref="AB22:AB23"/>
    <mergeCell ref="AC6:AC8"/>
    <mergeCell ref="AB10:AB12"/>
    <mergeCell ref="AB6:AB8"/>
    <mergeCell ref="AC10:AC12"/>
    <mergeCell ref="AC20:AC21"/>
    <mergeCell ref="AC22:AC23"/>
    <mergeCell ref="AD10:AD12"/>
    <mergeCell ref="R6:R8"/>
    <mergeCell ref="D20:D21"/>
    <mergeCell ref="T10:T12"/>
    <mergeCell ref="V10:V12"/>
    <mergeCell ref="AD6:AD8"/>
    <mergeCell ref="F2:F4"/>
    <mergeCell ref="Z2:Z4"/>
    <mergeCell ref="R20:U20"/>
    <mergeCell ref="AB2:AB4"/>
    <mergeCell ref="E2:E4"/>
    <mergeCell ref="AA2:AA4"/>
    <mergeCell ref="Z6:Z8"/>
    <mergeCell ref="AC2:AC4"/>
    <mergeCell ref="AD2:AD4"/>
    <mergeCell ref="D10:D13"/>
    <mergeCell ref="S6:S8"/>
    <mergeCell ref="L10:L12"/>
    <mergeCell ref="N10:N12"/>
    <mergeCell ref="X10:X12"/>
    <mergeCell ref="D2:D5"/>
    <mergeCell ref="K10:K12"/>
    <mergeCell ref="J2:J4"/>
    <mergeCell ref="L2:L4"/>
    <mergeCell ref="A2:A13"/>
    <mergeCell ref="D6:D9"/>
    <mergeCell ref="K2:K4"/>
    <mergeCell ref="W20:W21"/>
    <mergeCell ref="C10:C13"/>
    <mergeCell ref="I22:I23"/>
    <mergeCell ref="K22:K23"/>
    <mergeCell ref="L6:L8"/>
    <mergeCell ref="F10:F12"/>
    <mergeCell ref="W22:W23"/>
    <mergeCell ref="O10:O12"/>
    <mergeCell ref="B14:B19"/>
    <mergeCell ref="W6:W8"/>
    <mergeCell ref="P10:P12"/>
    <mergeCell ref="M2:M4"/>
    <mergeCell ref="R10:R12"/>
    <mergeCell ref="P2:P4"/>
    <mergeCell ref="E6:E8"/>
    <mergeCell ref="E22:E23"/>
    <mergeCell ref="N2:N4"/>
    <mergeCell ref="C6:C9"/>
    <mergeCell ref="D22:D23"/>
    <mergeCell ref="F22:F23"/>
    <mergeCell ref="F6:F8"/>
  </mergeCells>
  <printOptions horizontalCentered="1"/>
  <pageMargins left="0.23622047244094491" right="0.23622047244094491" top="0.74803149606299213" bottom="0.74803149606299213" header="0.31496062992125978" footer="0.31496062992125978"/>
  <pageSetup scale="42" fitToHeight="0"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7">
    <tabColor theme="7" tint="0.39997558519241921"/>
  </sheetPr>
  <dimension ref="A1:AD19"/>
  <sheetViews>
    <sheetView topLeftCell="K9" zoomScale="63" zoomScaleNormal="50" zoomScaleSheetLayoutView="90" workbookViewId="0">
      <selection activeCell="P10" sqref="P10:P13"/>
    </sheetView>
  </sheetViews>
  <sheetFormatPr baseColWidth="10" defaultColWidth="11.44140625" defaultRowHeight="21" x14ac:dyDescent="0.4"/>
  <cols>
    <col min="1" max="1" width="20.6640625" style="5" customWidth="1"/>
    <col min="2" max="2" width="9.109375" customWidth="1"/>
    <col min="3" max="3" width="19.6640625" style="4" customWidth="1"/>
    <col min="4" max="4" width="8.88671875" customWidth="1"/>
    <col min="5" max="5" width="40.6640625" style="3" customWidth="1"/>
    <col min="6" max="6" width="33" customWidth="1"/>
    <col min="7" max="7" width="51.109375" customWidth="1"/>
    <col min="8" max="8" width="19.6640625" customWidth="1"/>
    <col min="9" max="9" width="25.6640625" style="2" customWidth="1"/>
    <col min="10" max="10" width="25.6640625" style="1" customWidth="1"/>
    <col min="11" max="11" width="70.6640625" customWidth="1"/>
    <col min="12" max="16" width="25.6640625" customWidth="1"/>
    <col min="17" max="17" width="66.88671875" style="168" customWidth="1"/>
    <col min="18" max="22" width="20.44140625" customWidth="1"/>
    <col min="23" max="23" width="100.33203125" customWidth="1"/>
    <col min="24" max="24" width="19.44140625" customWidth="1"/>
    <col min="25" max="25" width="22.33203125" customWidth="1"/>
    <col min="26" max="26" width="19.44140625" customWidth="1"/>
    <col min="27" max="28" width="20.88671875" customWidth="1"/>
    <col min="29" max="29" width="91.88671875" customWidth="1"/>
    <col min="30" max="30" width="53.44140625" customWidth="1"/>
  </cols>
  <sheetData>
    <row r="1" spans="1:30" s="28" customFormat="1" ht="51.45" customHeight="1" thickTop="1" thickBot="1" x14ac:dyDescent="0.35">
      <c r="A1" s="153" t="s">
        <v>0</v>
      </c>
      <c r="B1" s="153" t="s">
        <v>1</v>
      </c>
      <c r="C1" s="153" t="s">
        <v>2</v>
      </c>
      <c r="D1" s="153" t="s">
        <v>3</v>
      </c>
      <c r="E1" s="153" t="s">
        <v>4</v>
      </c>
      <c r="F1" s="153" t="s">
        <v>5</v>
      </c>
      <c r="G1" s="153" t="s">
        <v>6</v>
      </c>
      <c r="H1" s="153" t="s">
        <v>7</v>
      </c>
      <c r="I1" s="153" t="s">
        <v>8</v>
      </c>
      <c r="J1" s="153" t="s">
        <v>9</v>
      </c>
      <c r="K1" s="160" t="s">
        <v>10</v>
      </c>
      <c r="L1" s="153" t="s">
        <v>11</v>
      </c>
      <c r="M1" s="153" t="s">
        <v>12</v>
      </c>
      <c r="N1" s="153" t="s">
        <v>13</v>
      </c>
      <c r="O1" s="153" t="s">
        <v>14</v>
      </c>
      <c r="P1" s="153" t="s">
        <v>15</v>
      </c>
      <c r="Q1" s="160" t="s">
        <v>16</v>
      </c>
      <c r="R1" s="153" t="s">
        <v>17</v>
      </c>
      <c r="S1" s="153" t="s">
        <v>18</v>
      </c>
      <c r="T1" s="153" t="s">
        <v>19</v>
      </c>
      <c r="U1" s="153" t="s">
        <v>20</v>
      </c>
      <c r="V1" s="153" t="s">
        <v>21</v>
      </c>
      <c r="W1" s="160" t="s">
        <v>22</v>
      </c>
      <c r="X1" s="153" t="s">
        <v>23</v>
      </c>
      <c r="Y1" s="153" t="s">
        <v>24</v>
      </c>
      <c r="Z1" s="153" t="s">
        <v>25</v>
      </c>
      <c r="AA1" s="153" t="s">
        <v>26</v>
      </c>
      <c r="AB1" s="153" t="s">
        <v>27</v>
      </c>
      <c r="AC1" s="160" t="s">
        <v>28</v>
      </c>
      <c r="AD1" s="28" t="s">
        <v>29</v>
      </c>
    </row>
    <row r="2" spans="1:30" ht="48" customHeight="1" thickTop="1" thickBot="1" x14ac:dyDescent="0.35">
      <c r="A2" s="387" t="s">
        <v>30</v>
      </c>
      <c r="B2" s="414">
        <v>0.2</v>
      </c>
      <c r="C2" s="391" t="s">
        <v>31</v>
      </c>
      <c r="D2" s="409">
        <f>B2/2</f>
        <v>0.1</v>
      </c>
      <c r="E2" s="393" t="s">
        <v>32</v>
      </c>
      <c r="F2" s="413">
        <f>$B$2/4</f>
        <v>0.05</v>
      </c>
      <c r="G2" s="40" t="s">
        <v>33</v>
      </c>
      <c r="H2" s="27">
        <v>1</v>
      </c>
      <c r="I2" s="359">
        <v>1</v>
      </c>
      <c r="J2" s="368">
        <f>I2*$F$2</f>
        <v>0.05</v>
      </c>
      <c r="K2" s="412" t="s">
        <v>241</v>
      </c>
      <c r="L2" s="359">
        <v>1</v>
      </c>
      <c r="M2" s="368">
        <f>L2*$F$2</f>
        <v>0.05</v>
      </c>
      <c r="N2" s="359">
        <v>1</v>
      </c>
      <c r="O2" s="368">
        <f>N2*$F$2</f>
        <v>0.05</v>
      </c>
      <c r="P2" s="368">
        <f>AVERAGE(M2,O2)</f>
        <v>0.05</v>
      </c>
      <c r="Q2" s="369" t="s">
        <v>123</v>
      </c>
      <c r="R2" s="359">
        <v>1</v>
      </c>
      <c r="S2" s="368">
        <f>R2*$F$2</f>
        <v>0.05</v>
      </c>
      <c r="T2" s="359">
        <v>1</v>
      </c>
      <c r="U2" s="368">
        <f>T2*$F$2</f>
        <v>0.05</v>
      </c>
      <c r="V2" s="386">
        <f>AVERAGE(S2,U2)</f>
        <v>0.05</v>
      </c>
      <c r="W2" s="407" t="s">
        <v>242</v>
      </c>
      <c r="X2" s="351">
        <v>1</v>
      </c>
      <c r="Y2" s="358">
        <f>X2*$F$2</f>
        <v>0.05</v>
      </c>
      <c r="Z2" s="349">
        <v>1</v>
      </c>
      <c r="AA2" s="358">
        <f>Z2*$F$2</f>
        <v>0.05</v>
      </c>
      <c r="AB2" s="350">
        <f>AVERAGE(Y2,AA2)</f>
        <v>0.05</v>
      </c>
      <c r="AC2" s="360" t="s">
        <v>243</v>
      </c>
      <c r="AD2" s="393" t="s">
        <v>38</v>
      </c>
    </row>
    <row r="3" spans="1:30" ht="47.25" customHeight="1" thickTop="1" thickBot="1" x14ac:dyDescent="0.35">
      <c r="A3" s="388"/>
      <c r="B3" s="341"/>
      <c r="C3" s="392"/>
      <c r="D3" s="341"/>
      <c r="E3" s="397"/>
      <c r="F3" s="341"/>
      <c r="G3" s="40" t="s">
        <v>39</v>
      </c>
      <c r="H3" s="26">
        <v>0.8</v>
      </c>
      <c r="I3" s="336"/>
      <c r="J3" s="336"/>
      <c r="K3" s="336"/>
      <c r="L3" s="336"/>
      <c r="M3" s="336"/>
      <c r="N3" s="336"/>
      <c r="O3" s="336"/>
      <c r="P3" s="336"/>
      <c r="Q3" s="336"/>
      <c r="R3" s="336"/>
      <c r="S3" s="336"/>
      <c r="T3" s="336"/>
      <c r="U3" s="336"/>
      <c r="V3" s="347"/>
      <c r="W3" s="361"/>
      <c r="X3" s="352"/>
      <c r="Y3" s="336"/>
      <c r="Z3" s="336"/>
      <c r="AA3" s="336"/>
      <c r="AB3" s="347"/>
      <c r="AC3" s="361"/>
      <c r="AD3" s="341"/>
    </row>
    <row r="4" spans="1:30" ht="40.5" customHeight="1" thickTop="1" thickBot="1" x14ac:dyDescent="0.35">
      <c r="A4" s="388"/>
      <c r="B4" s="341"/>
      <c r="C4" s="392"/>
      <c r="D4" s="341"/>
      <c r="E4" s="389"/>
      <c r="F4" s="389"/>
      <c r="G4" s="40" t="s">
        <v>40</v>
      </c>
      <c r="H4" s="25">
        <v>0</v>
      </c>
      <c r="I4" s="332"/>
      <c r="J4" s="332"/>
      <c r="K4" s="332"/>
      <c r="L4" s="332"/>
      <c r="M4" s="332"/>
      <c r="N4" s="332"/>
      <c r="O4" s="332"/>
      <c r="P4" s="332"/>
      <c r="Q4" s="332"/>
      <c r="R4" s="332"/>
      <c r="S4" s="332"/>
      <c r="T4" s="332"/>
      <c r="U4" s="332"/>
      <c r="V4" s="334"/>
      <c r="W4" s="362"/>
      <c r="X4" s="354"/>
      <c r="Y4" s="332"/>
      <c r="Z4" s="332"/>
      <c r="AA4" s="332"/>
      <c r="AB4" s="334"/>
      <c r="AC4" s="362"/>
      <c r="AD4" s="389"/>
    </row>
    <row r="5" spans="1:30" ht="46.2" customHeight="1" thickTop="1" thickBot="1" x14ac:dyDescent="0.35">
      <c r="A5" s="388"/>
      <c r="B5" s="341"/>
      <c r="C5" s="389"/>
      <c r="D5" s="389"/>
      <c r="E5" s="12" t="s">
        <v>41</v>
      </c>
      <c r="F5" s="24">
        <f>$B$2/4</f>
        <v>0.05</v>
      </c>
      <c r="G5" s="40" t="s">
        <v>42</v>
      </c>
      <c r="H5" s="23" t="s">
        <v>43</v>
      </c>
      <c r="I5" s="43">
        <v>1</v>
      </c>
      <c r="J5" s="48">
        <f>I5*$F$5</f>
        <v>0.05</v>
      </c>
      <c r="K5" s="47" t="s">
        <v>124</v>
      </c>
      <c r="L5" s="43">
        <v>1</v>
      </c>
      <c r="M5" s="48">
        <f>L5*$F$5</f>
        <v>0.05</v>
      </c>
      <c r="N5" s="43">
        <v>1</v>
      </c>
      <c r="O5" s="48">
        <f>N5*$F$5</f>
        <v>0.05</v>
      </c>
      <c r="P5" s="48">
        <f>AVERAGE(M5,O5)</f>
        <v>0.05</v>
      </c>
      <c r="Q5" s="78" t="s">
        <v>123</v>
      </c>
      <c r="R5" s="43">
        <v>1</v>
      </c>
      <c r="S5" s="48">
        <f>R5*$F$5</f>
        <v>0.05</v>
      </c>
      <c r="T5" s="43">
        <v>1</v>
      </c>
      <c r="U5" s="48">
        <f>T5*$F$5</f>
        <v>0.05</v>
      </c>
      <c r="V5" s="165">
        <f>AVERAGE(S5,U5)</f>
        <v>0.05</v>
      </c>
      <c r="W5" s="241" t="s">
        <v>244</v>
      </c>
      <c r="X5" s="201">
        <v>1</v>
      </c>
      <c r="Y5" s="48">
        <f>X5*$F$5</f>
        <v>0.05</v>
      </c>
      <c r="Z5" s="43">
        <v>1</v>
      </c>
      <c r="AA5" s="48">
        <f>Z5*$F$5</f>
        <v>0.05</v>
      </c>
      <c r="AB5" s="165">
        <f>AVERAGE(Y5,AA5)</f>
        <v>0.05</v>
      </c>
      <c r="AC5" s="231" t="s">
        <v>244</v>
      </c>
      <c r="AD5" s="12" t="s">
        <v>38</v>
      </c>
    </row>
    <row r="6" spans="1:30" ht="18.600000000000001" customHeight="1" thickTop="1" thickBot="1" x14ac:dyDescent="0.35">
      <c r="A6" s="388"/>
      <c r="B6" s="341"/>
      <c r="C6" s="391" t="s">
        <v>46</v>
      </c>
      <c r="D6" s="409">
        <f>B2/2</f>
        <v>0.1</v>
      </c>
      <c r="E6" s="393" t="s">
        <v>32</v>
      </c>
      <c r="F6" s="413">
        <f>$B$2/4</f>
        <v>0.05</v>
      </c>
      <c r="G6" s="40" t="s">
        <v>33</v>
      </c>
      <c r="H6" s="27">
        <v>1</v>
      </c>
      <c r="I6" s="359">
        <v>1</v>
      </c>
      <c r="J6" s="368">
        <f>I6*$F$6</f>
        <v>0.05</v>
      </c>
      <c r="K6" s="412" t="s">
        <v>245</v>
      </c>
      <c r="L6" s="359">
        <v>1</v>
      </c>
      <c r="M6" s="368">
        <f>L6*$F$6</f>
        <v>0.05</v>
      </c>
      <c r="N6" s="359">
        <v>1</v>
      </c>
      <c r="O6" s="368">
        <f>N6*$F$6</f>
        <v>0.05</v>
      </c>
      <c r="P6" s="368">
        <f>AVERAGE(M6,O6)</f>
        <v>0.05</v>
      </c>
      <c r="Q6" s="421" t="s">
        <v>168</v>
      </c>
      <c r="R6" s="359">
        <v>1</v>
      </c>
      <c r="S6" s="368">
        <f>R6*$F$6</f>
        <v>0.05</v>
      </c>
      <c r="T6" s="359">
        <v>1</v>
      </c>
      <c r="U6" s="368">
        <f>T6*$F$6</f>
        <v>0.05</v>
      </c>
      <c r="V6" s="386">
        <f>AVERAGE(S6,U6)</f>
        <v>0.05</v>
      </c>
      <c r="W6" s="427" t="s">
        <v>168</v>
      </c>
      <c r="X6" s="366">
        <v>1</v>
      </c>
      <c r="Y6" s="368">
        <f>X6*$F$6</f>
        <v>0.05</v>
      </c>
      <c r="Z6" s="359">
        <v>1</v>
      </c>
      <c r="AA6" s="368">
        <f>Z6*$F$6</f>
        <v>0.05</v>
      </c>
      <c r="AB6" s="386">
        <f>AVERAGE(Y6,AA6)</f>
        <v>0.05</v>
      </c>
      <c r="AC6" s="432" t="s">
        <v>168</v>
      </c>
      <c r="AD6" s="393" t="s">
        <v>38</v>
      </c>
    </row>
    <row r="7" spans="1:30" ht="18.600000000000001" customHeight="1" thickTop="1" thickBot="1" x14ac:dyDescent="0.35">
      <c r="A7" s="388"/>
      <c r="B7" s="341"/>
      <c r="C7" s="392"/>
      <c r="D7" s="341"/>
      <c r="E7" s="397"/>
      <c r="F7" s="341"/>
      <c r="G7" s="40" t="s">
        <v>39</v>
      </c>
      <c r="H7" s="26">
        <v>0.8</v>
      </c>
      <c r="I7" s="336"/>
      <c r="J7" s="336"/>
      <c r="K7" s="336"/>
      <c r="L7" s="336"/>
      <c r="M7" s="336"/>
      <c r="N7" s="336"/>
      <c r="O7" s="336"/>
      <c r="P7" s="336"/>
      <c r="Q7" s="336"/>
      <c r="R7" s="336"/>
      <c r="S7" s="336"/>
      <c r="T7" s="336"/>
      <c r="U7" s="336"/>
      <c r="V7" s="347"/>
      <c r="W7" s="361"/>
      <c r="X7" s="352"/>
      <c r="Y7" s="336"/>
      <c r="Z7" s="336"/>
      <c r="AA7" s="336"/>
      <c r="AB7" s="347"/>
      <c r="AC7" s="361"/>
      <c r="AD7" s="341"/>
    </row>
    <row r="8" spans="1:30" ht="45" customHeight="1" thickTop="1" thickBot="1" x14ac:dyDescent="0.35">
      <c r="A8" s="388"/>
      <c r="B8" s="341"/>
      <c r="C8" s="392"/>
      <c r="D8" s="341"/>
      <c r="E8" s="389"/>
      <c r="F8" s="389"/>
      <c r="G8" s="40" t="s">
        <v>40</v>
      </c>
      <c r="H8" s="25">
        <v>0.5</v>
      </c>
      <c r="I8" s="332"/>
      <c r="J8" s="332"/>
      <c r="K8" s="332"/>
      <c r="L8" s="332"/>
      <c r="M8" s="332"/>
      <c r="N8" s="332"/>
      <c r="O8" s="332"/>
      <c r="P8" s="332"/>
      <c r="Q8" s="332"/>
      <c r="R8" s="332"/>
      <c r="S8" s="332"/>
      <c r="T8" s="332"/>
      <c r="U8" s="332"/>
      <c r="V8" s="334"/>
      <c r="W8" s="362"/>
      <c r="X8" s="354"/>
      <c r="Y8" s="332"/>
      <c r="Z8" s="332"/>
      <c r="AA8" s="332"/>
      <c r="AB8" s="334"/>
      <c r="AC8" s="362"/>
      <c r="AD8" s="389"/>
    </row>
    <row r="9" spans="1:30" ht="97.5" customHeight="1" thickTop="1" thickBot="1" x14ac:dyDescent="0.35">
      <c r="A9" s="389"/>
      <c r="B9" s="389"/>
      <c r="C9" s="389"/>
      <c r="D9" s="389"/>
      <c r="E9" s="12" t="s">
        <v>41</v>
      </c>
      <c r="F9" s="24">
        <f>$B$2/4</f>
        <v>0.05</v>
      </c>
      <c r="G9" s="40" t="s">
        <v>42</v>
      </c>
      <c r="H9" s="23" t="s">
        <v>43</v>
      </c>
      <c r="I9" s="43">
        <v>1</v>
      </c>
      <c r="J9" s="48">
        <f>I9*$F$9</f>
        <v>0.05</v>
      </c>
      <c r="K9" s="47" t="s">
        <v>246</v>
      </c>
      <c r="L9" s="43">
        <v>1</v>
      </c>
      <c r="M9" s="48">
        <f>L9*$F$9</f>
        <v>0.05</v>
      </c>
      <c r="N9" s="43">
        <v>1</v>
      </c>
      <c r="O9" s="48">
        <f>N9*$F$9</f>
        <v>0.05</v>
      </c>
      <c r="P9" s="165">
        <f t="shared" ref="P9:P15" si="0">AVERAGE(M9,O9)</f>
        <v>0.05</v>
      </c>
      <c r="Q9" s="181" t="s">
        <v>170</v>
      </c>
      <c r="R9" s="43">
        <v>0.85</v>
      </c>
      <c r="S9" s="48">
        <f>R9*$F$9</f>
        <v>4.2500000000000003E-2</v>
      </c>
      <c r="T9" s="43">
        <v>0.85</v>
      </c>
      <c r="U9" s="48">
        <f>T9*$F$9</f>
        <v>4.2500000000000003E-2</v>
      </c>
      <c r="V9" s="165">
        <f>AVERAGE(S9,U9)</f>
        <v>4.2500000000000003E-2</v>
      </c>
      <c r="W9" s="282" t="s">
        <v>247</v>
      </c>
      <c r="X9" s="221">
        <v>0.95</v>
      </c>
      <c r="Y9" s="200">
        <f>X9*$F$9</f>
        <v>4.7500000000000001E-2</v>
      </c>
      <c r="Z9" s="211">
        <v>0.95</v>
      </c>
      <c r="AA9" s="200">
        <f>Z9*$F$9</f>
        <v>4.7500000000000001E-2</v>
      </c>
      <c r="AB9" s="223">
        <f>AVERAGE(Y9,AA9)</f>
        <v>4.7500000000000001E-2</v>
      </c>
      <c r="AC9" s="278" t="s">
        <v>248</v>
      </c>
      <c r="AD9" s="12" t="s">
        <v>38</v>
      </c>
    </row>
    <row r="10" spans="1:30" ht="102" customHeight="1" thickTop="1" thickBot="1" x14ac:dyDescent="0.35">
      <c r="A10" s="422" t="s">
        <v>55</v>
      </c>
      <c r="B10" s="414">
        <v>0.25</v>
      </c>
      <c r="C10" s="30" t="s">
        <v>31</v>
      </c>
      <c r="D10" s="20">
        <v>0.1</v>
      </c>
      <c r="E10" s="10" t="s">
        <v>56</v>
      </c>
      <c r="F10" s="20">
        <f>(20%/2)</f>
        <v>0.1</v>
      </c>
      <c r="G10" s="32" t="s">
        <v>57</v>
      </c>
      <c r="H10" s="19" t="s">
        <v>43</v>
      </c>
      <c r="I10" s="43">
        <v>1</v>
      </c>
      <c r="J10" s="48">
        <f>I10*$F$10</f>
        <v>0.1</v>
      </c>
      <c r="K10" s="47"/>
      <c r="L10" s="43">
        <v>1</v>
      </c>
      <c r="M10" s="48">
        <f>L10*$F$10</f>
        <v>0.1</v>
      </c>
      <c r="N10" s="43">
        <v>1</v>
      </c>
      <c r="O10" s="48">
        <f>N10*$F$10</f>
        <v>0.1</v>
      </c>
      <c r="P10" s="48">
        <f t="shared" si="0"/>
        <v>0.1</v>
      </c>
      <c r="Q10" s="287" t="s">
        <v>134</v>
      </c>
      <c r="R10" s="43">
        <v>1</v>
      </c>
      <c r="S10" s="48">
        <f>R10*$F$10</f>
        <v>0.1</v>
      </c>
      <c r="T10" s="43">
        <v>1</v>
      </c>
      <c r="U10" s="48">
        <f>T10*$F$10</f>
        <v>0.1</v>
      </c>
      <c r="V10" s="165">
        <f>AVERAGE(S10,U10)</f>
        <v>0.1</v>
      </c>
      <c r="W10" s="288" t="s">
        <v>249</v>
      </c>
      <c r="X10" s="301">
        <v>1</v>
      </c>
      <c r="Y10" s="147">
        <f>X10*$F$10</f>
        <v>0.1</v>
      </c>
      <c r="Z10" s="149">
        <v>1</v>
      </c>
      <c r="AA10" s="213">
        <f>Z10*$F$10</f>
        <v>0.1</v>
      </c>
      <c r="AB10" s="215">
        <f>AVERAGE(Y10,AA10)</f>
        <v>0.1</v>
      </c>
      <c r="AC10" s="234" t="s">
        <v>250</v>
      </c>
      <c r="AD10" s="10" t="s">
        <v>38</v>
      </c>
    </row>
    <row r="11" spans="1:30" ht="70.2" customHeight="1" thickTop="1" thickBot="1" x14ac:dyDescent="0.35">
      <c r="A11" s="388"/>
      <c r="B11" s="341"/>
      <c r="C11" s="30" t="s">
        <v>135</v>
      </c>
      <c r="D11" s="20">
        <v>0.1</v>
      </c>
      <c r="E11" s="10" t="s">
        <v>136</v>
      </c>
      <c r="F11" s="20">
        <f>(20%/2)</f>
        <v>0.1</v>
      </c>
      <c r="G11" s="32" t="s">
        <v>137</v>
      </c>
      <c r="H11" s="19" t="s">
        <v>43</v>
      </c>
      <c r="I11" s="43">
        <v>0.37</v>
      </c>
      <c r="J11" s="48">
        <f>I11*$F$11</f>
        <v>3.6999999999999998E-2</v>
      </c>
      <c r="K11" s="47" t="s">
        <v>174</v>
      </c>
      <c r="L11" s="43">
        <v>0.79</v>
      </c>
      <c r="M11" s="48">
        <f>L11*$F$11</f>
        <v>7.9000000000000015E-2</v>
      </c>
      <c r="N11" s="43">
        <v>0.79</v>
      </c>
      <c r="O11" s="48">
        <f>N11*$F$11</f>
        <v>7.9000000000000015E-2</v>
      </c>
      <c r="P11" s="48">
        <f t="shared" si="0"/>
        <v>7.9000000000000015E-2</v>
      </c>
      <c r="Q11" s="78" t="s">
        <v>175</v>
      </c>
      <c r="R11" s="420">
        <v>0.79</v>
      </c>
      <c r="S11" s="364"/>
      <c r="T11" s="364"/>
      <c r="U11" s="365"/>
      <c r="V11" s="165">
        <f>R11*D11</f>
        <v>7.9000000000000015E-2</v>
      </c>
      <c r="W11" s="241" t="s">
        <v>251</v>
      </c>
      <c r="X11" s="402">
        <v>0.8</v>
      </c>
      <c r="Y11" s="374"/>
      <c r="Z11" s="374"/>
      <c r="AA11" s="375"/>
      <c r="AB11" s="215">
        <f>X11*D11</f>
        <v>8.0000000000000016E-2</v>
      </c>
      <c r="AC11" s="263" t="s">
        <v>251</v>
      </c>
      <c r="AD11" s="10" t="s">
        <v>82</v>
      </c>
    </row>
    <row r="12" spans="1:30" ht="63.75" customHeight="1" thickTop="1" thickBot="1" x14ac:dyDescent="0.35">
      <c r="A12" s="388"/>
      <c r="B12" s="341"/>
      <c r="C12" s="30" t="s">
        <v>60</v>
      </c>
      <c r="D12" s="20">
        <v>0.03</v>
      </c>
      <c r="E12" s="10" t="s">
        <v>61</v>
      </c>
      <c r="F12" s="20">
        <v>0.03</v>
      </c>
      <c r="G12" s="32" t="s">
        <v>62</v>
      </c>
      <c r="H12" s="19" t="s">
        <v>43</v>
      </c>
      <c r="I12" s="43">
        <v>1</v>
      </c>
      <c r="J12" s="48">
        <f>I12*$F$12</f>
        <v>0.03</v>
      </c>
      <c r="K12" s="47" t="s">
        <v>252</v>
      </c>
      <c r="L12" s="43">
        <v>1</v>
      </c>
      <c r="M12" s="48">
        <f>L12*$F$12</f>
        <v>0.03</v>
      </c>
      <c r="N12" s="43">
        <v>1</v>
      </c>
      <c r="O12" s="48">
        <f>N12*$F$12</f>
        <v>0.03</v>
      </c>
      <c r="P12" s="48">
        <f t="shared" si="0"/>
        <v>0.03</v>
      </c>
      <c r="Q12" s="272" t="s">
        <v>180</v>
      </c>
      <c r="R12" s="43">
        <v>1</v>
      </c>
      <c r="S12" s="48">
        <f>R12*$F$12</f>
        <v>0.03</v>
      </c>
      <c r="T12" s="43">
        <v>1</v>
      </c>
      <c r="U12" s="48">
        <f>T12*$F$12</f>
        <v>0.03</v>
      </c>
      <c r="V12" s="165">
        <f>AVERAGE(S12,U12)</f>
        <v>0.03</v>
      </c>
      <c r="W12" s="238" t="s">
        <v>65</v>
      </c>
      <c r="X12" s="261">
        <v>1</v>
      </c>
      <c r="Y12" s="205">
        <f>X12*D12</f>
        <v>0.03</v>
      </c>
      <c r="Z12" s="214">
        <v>1</v>
      </c>
      <c r="AA12" s="213">
        <f>Z12*D12</f>
        <v>0.03</v>
      </c>
      <c r="AB12" s="215">
        <f>AVERAGE(Y12,AA12)</f>
        <v>0.03</v>
      </c>
      <c r="AC12" s="289" t="s">
        <v>181</v>
      </c>
      <c r="AD12" s="10" t="s">
        <v>38</v>
      </c>
    </row>
    <row r="13" spans="1:30" ht="156.75" customHeight="1" thickTop="1" thickBot="1" x14ac:dyDescent="0.35">
      <c r="A13" s="389"/>
      <c r="B13" s="389"/>
      <c r="C13" s="31" t="s">
        <v>67</v>
      </c>
      <c r="D13" s="17">
        <v>0.02</v>
      </c>
      <c r="E13" s="18" t="s">
        <v>68</v>
      </c>
      <c r="F13" s="17">
        <v>0.02</v>
      </c>
      <c r="G13" s="35" t="s">
        <v>69</v>
      </c>
      <c r="H13" s="4" t="s">
        <v>43</v>
      </c>
      <c r="I13" s="43">
        <v>0.18509999999999999</v>
      </c>
      <c r="J13" s="48">
        <f>I13*$F$13</f>
        <v>3.702E-3</v>
      </c>
      <c r="K13" s="47" t="s">
        <v>253</v>
      </c>
      <c r="L13" s="43">
        <v>0.1724</v>
      </c>
      <c r="M13" s="48">
        <f>L13*$F$13</f>
        <v>3.4480000000000001E-3</v>
      </c>
      <c r="N13" s="43">
        <v>0.14699999999999999</v>
      </c>
      <c r="O13" s="178">
        <f>N13*$F$13</f>
        <v>2.9399999999999999E-3</v>
      </c>
      <c r="P13" s="178">
        <f t="shared" si="0"/>
        <v>3.1939999999999998E-3</v>
      </c>
      <c r="Q13" s="189" t="s">
        <v>254</v>
      </c>
      <c r="R13" s="43">
        <v>0.1333</v>
      </c>
      <c r="S13" s="48">
        <f>R13*$F$13</f>
        <v>2.666E-3</v>
      </c>
      <c r="T13" s="43">
        <v>0.18179999999999999</v>
      </c>
      <c r="U13" s="178">
        <f>T13*$F$13</f>
        <v>3.6359999999999999E-3</v>
      </c>
      <c r="V13" s="260">
        <f>AVERAGE(S13,U13)</f>
        <v>3.1510000000000002E-3</v>
      </c>
      <c r="W13" s="284" t="s">
        <v>255</v>
      </c>
      <c r="X13" s="222">
        <v>0.18179999999999999</v>
      </c>
      <c r="Y13" s="212">
        <f>X13*$F$13</f>
        <v>3.6359999999999999E-3</v>
      </c>
      <c r="Z13" s="210">
        <v>0.31419999999999998</v>
      </c>
      <c r="AA13" s="212">
        <f>Z13*$F$13</f>
        <v>6.2839999999999997E-3</v>
      </c>
      <c r="AB13" s="262">
        <f>AVERAGE(Y13,AA13)</f>
        <v>4.96E-3</v>
      </c>
      <c r="AC13" s="256" t="s">
        <v>256</v>
      </c>
      <c r="AD13" s="18" t="s">
        <v>38</v>
      </c>
    </row>
    <row r="14" spans="1:30" ht="132.6" customHeight="1" thickTop="1" x14ac:dyDescent="0.3">
      <c r="A14" s="422" t="s">
        <v>74</v>
      </c>
      <c r="B14" s="414">
        <v>0.25</v>
      </c>
      <c r="C14" s="390" t="s">
        <v>75</v>
      </c>
      <c r="D14" s="416">
        <f>B14</f>
        <v>0.25</v>
      </c>
      <c r="E14" s="14" t="s">
        <v>76</v>
      </c>
      <c r="F14" s="16">
        <f>D14*0.8</f>
        <v>0.2</v>
      </c>
      <c r="G14" s="36" t="s">
        <v>77</v>
      </c>
      <c r="H14" s="13" t="s">
        <v>43</v>
      </c>
      <c r="I14" s="43">
        <v>0.26079999999999998</v>
      </c>
      <c r="J14" s="48">
        <f>I14*$F$14</f>
        <v>5.2159999999999998E-2</v>
      </c>
      <c r="K14" s="62" t="s">
        <v>257</v>
      </c>
      <c r="L14" s="43">
        <v>0.75</v>
      </c>
      <c r="M14" s="48">
        <f>L14*$F$14</f>
        <v>0.15000000000000002</v>
      </c>
      <c r="N14" s="43">
        <v>0.75</v>
      </c>
      <c r="O14" s="178">
        <f>N14*$F$14</f>
        <v>0.15000000000000002</v>
      </c>
      <c r="P14" s="178">
        <f t="shared" si="0"/>
        <v>0.15000000000000002</v>
      </c>
      <c r="Q14" s="438" t="s">
        <v>258</v>
      </c>
      <c r="R14" s="433">
        <v>0.75</v>
      </c>
      <c r="S14" s="364"/>
      <c r="T14" s="364"/>
      <c r="U14" s="434"/>
      <c r="V14" s="260">
        <f>R14*F14</f>
        <v>0.15000000000000002</v>
      </c>
      <c r="W14" s="403" t="s">
        <v>259</v>
      </c>
      <c r="X14" s="435">
        <v>0.69230000000000003</v>
      </c>
      <c r="Y14" s="364"/>
      <c r="Z14" s="364"/>
      <c r="AA14" s="434"/>
      <c r="AB14" s="161">
        <f>X14*F14</f>
        <v>0.13846</v>
      </c>
      <c r="AC14" s="405" t="s">
        <v>260</v>
      </c>
      <c r="AD14" s="14" t="s">
        <v>82</v>
      </c>
    </row>
    <row r="15" spans="1:30" ht="132.6" customHeight="1" thickBot="1" x14ac:dyDescent="0.35">
      <c r="A15" s="389"/>
      <c r="B15" s="389"/>
      <c r="C15" s="389"/>
      <c r="D15" s="389"/>
      <c r="E15" s="12" t="s">
        <v>83</v>
      </c>
      <c r="F15" s="15">
        <f>D14*0.2</f>
        <v>0.05</v>
      </c>
      <c r="G15" s="34" t="s">
        <v>84</v>
      </c>
      <c r="H15" s="11" t="s">
        <v>43</v>
      </c>
      <c r="I15" s="43">
        <v>0.66659999999999997</v>
      </c>
      <c r="J15" s="48">
        <f>I15*$F$15</f>
        <v>3.3329999999999999E-2</v>
      </c>
      <c r="K15" s="62" t="s">
        <v>261</v>
      </c>
      <c r="L15" s="43">
        <v>0.83330000000000004</v>
      </c>
      <c r="M15" s="48">
        <f>L15*$F$15</f>
        <v>4.1665000000000008E-2</v>
      </c>
      <c r="N15" s="43">
        <v>0.66669999999999996</v>
      </c>
      <c r="O15" s="178">
        <f>N15*$F$15</f>
        <v>3.3334999999999997E-2</v>
      </c>
      <c r="P15" s="178">
        <f t="shared" si="0"/>
        <v>3.7500000000000006E-2</v>
      </c>
      <c r="Q15" s="332"/>
      <c r="R15" s="433">
        <v>1</v>
      </c>
      <c r="S15" s="364"/>
      <c r="T15" s="364"/>
      <c r="U15" s="434"/>
      <c r="V15" s="260">
        <f>R15*F15</f>
        <v>0.05</v>
      </c>
      <c r="W15" s="404"/>
      <c r="X15" s="435">
        <v>1</v>
      </c>
      <c r="Y15" s="364"/>
      <c r="Z15" s="364"/>
      <c r="AA15" s="434"/>
      <c r="AB15" s="161">
        <f>X15*F15</f>
        <v>0.05</v>
      </c>
      <c r="AC15" s="404"/>
      <c r="AD15" s="12" t="s">
        <v>82</v>
      </c>
    </row>
    <row r="16" spans="1:30" ht="66" customHeight="1" thickTop="1" x14ac:dyDescent="0.3">
      <c r="A16" s="422" t="s">
        <v>86</v>
      </c>
      <c r="B16" s="414">
        <v>0.3</v>
      </c>
      <c r="C16" s="390" t="s">
        <v>87</v>
      </c>
      <c r="D16" s="416">
        <f>$B$16/2</f>
        <v>0.15</v>
      </c>
      <c r="E16" s="393" t="s">
        <v>88</v>
      </c>
      <c r="F16" s="416">
        <f>$B$16/2</f>
        <v>0.15</v>
      </c>
      <c r="G16" s="38" t="s">
        <v>89</v>
      </c>
      <c r="H16" s="13">
        <v>1</v>
      </c>
      <c r="I16" s="359">
        <v>1</v>
      </c>
      <c r="J16" s="368">
        <f>I16*$F$16</f>
        <v>0.15</v>
      </c>
      <c r="K16" s="412" t="s">
        <v>262</v>
      </c>
      <c r="L16" s="359">
        <v>1</v>
      </c>
      <c r="M16" s="346"/>
      <c r="N16" s="346"/>
      <c r="O16" s="396"/>
      <c r="P16" s="368">
        <f>L16*$F16</f>
        <v>0.15</v>
      </c>
      <c r="Q16" s="369" t="s">
        <v>91</v>
      </c>
      <c r="R16" s="359">
        <v>1</v>
      </c>
      <c r="S16" s="346"/>
      <c r="T16" s="346"/>
      <c r="U16" s="396"/>
      <c r="V16" s="386">
        <f>R16*$F16</f>
        <v>0.15</v>
      </c>
      <c r="W16" s="399" t="s">
        <v>92</v>
      </c>
      <c r="X16" s="366">
        <v>1</v>
      </c>
      <c r="Y16" s="346"/>
      <c r="Z16" s="346"/>
      <c r="AA16" s="396"/>
      <c r="AB16" s="436">
        <f>X16*F16</f>
        <v>0.15</v>
      </c>
      <c r="AC16" s="399" t="s">
        <v>92</v>
      </c>
      <c r="AD16" s="393" t="s">
        <v>93</v>
      </c>
    </row>
    <row r="17" spans="1:30" ht="66" customHeight="1" thickBot="1" x14ac:dyDescent="0.35">
      <c r="A17" s="388"/>
      <c r="B17" s="341"/>
      <c r="C17" s="389"/>
      <c r="D17" s="389"/>
      <c r="E17" s="389"/>
      <c r="F17" s="389"/>
      <c r="G17" s="39" t="s">
        <v>94</v>
      </c>
      <c r="H17" s="11">
        <v>0</v>
      </c>
      <c r="I17" s="332"/>
      <c r="J17" s="332"/>
      <c r="K17" s="332"/>
      <c r="L17" s="334"/>
      <c r="M17" s="353"/>
      <c r="N17" s="353"/>
      <c r="O17" s="354"/>
      <c r="P17" s="332"/>
      <c r="Q17" s="332"/>
      <c r="R17" s="334"/>
      <c r="S17" s="353"/>
      <c r="T17" s="353"/>
      <c r="U17" s="354"/>
      <c r="V17" s="334"/>
      <c r="W17" s="362"/>
      <c r="X17" s="353"/>
      <c r="Y17" s="353"/>
      <c r="Z17" s="353"/>
      <c r="AA17" s="354"/>
      <c r="AB17" s="334"/>
      <c r="AC17" s="362"/>
      <c r="AD17" s="389"/>
    </row>
    <row r="18" spans="1:30" ht="82.2" customHeight="1" thickTop="1" thickBot="1" x14ac:dyDescent="0.35">
      <c r="A18" s="389"/>
      <c r="B18" s="389"/>
      <c r="C18" s="37" t="s">
        <v>95</v>
      </c>
      <c r="D18" s="8">
        <v>0.15</v>
      </c>
      <c r="E18" s="9" t="s">
        <v>96</v>
      </c>
      <c r="F18" s="8">
        <v>0.15</v>
      </c>
      <c r="G18" s="32" t="s">
        <v>97</v>
      </c>
      <c r="H18" s="8">
        <v>1</v>
      </c>
      <c r="I18" s="43">
        <v>0.45419999999999999</v>
      </c>
      <c r="J18" s="48">
        <f>I18*$F$18</f>
        <v>6.8129999999999996E-2</v>
      </c>
      <c r="K18" s="47" t="s">
        <v>263</v>
      </c>
      <c r="L18" s="359">
        <v>0.65359999999999996</v>
      </c>
      <c r="M18" s="364"/>
      <c r="N18" s="364"/>
      <c r="O18" s="365"/>
      <c r="P18" s="48">
        <f>L18*$F18</f>
        <v>9.8039999999999988E-2</v>
      </c>
      <c r="Q18" s="78" t="s">
        <v>264</v>
      </c>
      <c r="R18" s="359">
        <v>0.72070000000000001</v>
      </c>
      <c r="S18" s="364"/>
      <c r="T18" s="364"/>
      <c r="U18" s="365"/>
      <c r="V18" s="165">
        <f>R18*$F18</f>
        <v>0.10810499999999999</v>
      </c>
      <c r="W18" s="242" t="s">
        <v>265</v>
      </c>
      <c r="X18" s="437">
        <v>0.8911</v>
      </c>
      <c r="Y18" s="346"/>
      <c r="Z18" s="346"/>
      <c r="AA18" s="396"/>
      <c r="AB18" s="165">
        <f>F18*X18</f>
        <v>0.13366500000000001</v>
      </c>
      <c r="AC18" s="237" t="s">
        <v>266</v>
      </c>
      <c r="AD18" s="9" t="s">
        <v>93</v>
      </c>
    </row>
    <row r="19" spans="1:30" ht="26.7" customHeight="1" thickTop="1" x14ac:dyDescent="0.3">
      <c r="I19" s="7" t="s">
        <v>102</v>
      </c>
      <c r="J19" s="6">
        <f>SUM(J2:J18)</f>
        <v>0.67432199999999998</v>
      </c>
      <c r="O19" s="7" t="s">
        <v>102</v>
      </c>
      <c r="P19" s="6">
        <f>SUM(P2:P18)</f>
        <v>0.8477340000000001</v>
      </c>
      <c r="Q19" s="88"/>
      <c r="U19" s="7" t="s">
        <v>102</v>
      </c>
      <c r="V19" s="6">
        <f>SUM(V2:V18)</f>
        <v>0.86275600000000019</v>
      </c>
      <c r="W19" s="88"/>
      <c r="X19" s="225"/>
      <c r="Y19" s="225"/>
      <c r="Z19" s="224"/>
      <c r="AA19" s="7" t="s">
        <v>102</v>
      </c>
      <c r="AB19" s="6">
        <f>SUM(AB2:AB18)</f>
        <v>0.88458500000000007</v>
      </c>
      <c r="AC19" s="264"/>
    </row>
  </sheetData>
  <mergeCells count="91">
    <mergeCell ref="I16:I17"/>
    <mergeCell ref="AB6:AB8"/>
    <mergeCell ref="T6:T8"/>
    <mergeCell ref="Q6:Q8"/>
    <mergeCell ref="T2:T4"/>
    <mergeCell ref="R16:U17"/>
    <mergeCell ref="D16:D17"/>
    <mergeCell ref="X2:X4"/>
    <mergeCell ref="B2:B9"/>
    <mergeCell ref="X11:AA11"/>
    <mergeCell ref="U2:U4"/>
    <mergeCell ref="C2:C5"/>
    <mergeCell ref="P6:P8"/>
    <mergeCell ref="S2:S4"/>
    <mergeCell ref="F16:F17"/>
    <mergeCell ref="E16:E17"/>
    <mergeCell ref="X16:AA17"/>
    <mergeCell ref="P16:P17"/>
    <mergeCell ref="J16:J17"/>
    <mergeCell ref="C16:C17"/>
    <mergeCell ref="N6:N8"/>
    <mergeCell ref="B14:B15"/>
    <mergeCell ref="A10:A13"/>
    <mergeCell ref="M6:M8"/>
    <mergeCell ref="V6:V8"/>
    <mergeCell ref="Y2:Y4"/>
    <mergeCell ref="X15:AA15"/>
    <mergeCell ref="R11:U11"/>
    <mergeCell ref="W6:W8"/>
    <mergeCell ref="E6:E8"/>
    <mergeCell ref="A2:A9"/>
    <mergeCell ref="C6:C9"/>
    <mergeCell ref="V2:V4"/>
    <mergeCell ref="C14:C15"/>
    <mergeCell ref="S6:S8"/>
    <mergeCell ref="Q14:Q15"/>
    <mergeCell ref="D2:D5"/>
    <mergeCell ref="D14:D15"/>
    <mergeCell ref="E2:E4"/>
    <mergeCell ref="K2:K4"/>
    <mergeCell ref="D6:D9"/>
    <mergeCell ref="L6:L8"/>
    <mergeCell ref="R14:U14"/>
    <mergeCell ref="R18:U18"/>
    <mergeCell ref="J2:J4"/>
    <mergeCell ref="L2:L4"/>
    <mergeCell ref="AC14:AC15"/>
    <mergeCell ref="F6:F8"/>
    <mergeCell ref="I2:I4"/>
    <mergeCell ref="AA6:AA8"/>
    <mergeCell ref="J6:J8"/>
    <mergeCell ref="Q16:Q17"/>
    <mergeCell ref="X6:X8"/>
    <mergeCell ref="R6:R8"/>
    <mergeCell ref="L18:O18"/>
    <mergeCell ref="X18:AA18"/>
    <mergeCell ref="F2:F4"/>
    <mergeCell ref="K16:K17"/>
    <mergeCell ref="Z2:Z4"/>
    <mergeCell ref="A16:A18"/>
    <mergeCell ref="Y6:Y8"/>
    <mergeCell ref="X14:AA14"/>
    <mergeCell ref="AC16:AC17"/>
    <mergeCell ref="W2:W4"/>
    <mergeCell ref="O2:O4"/>
    <mergeCell ref="AB16:AB17"/>
    <mergeCell ref="Q2:Q4"/>
    <mergeCell ref="I6:I8"/>
    <mergeCell ref="K6:K8"/>
    <mergeCell ref="R2:R4"/>
    <mergeCell ref="B16:B18"/>
    <mergeCell ref="O6:O8"/>
    <mergeCell ref="B10:B13"/>
    <mergeCell ref="A14:A15"/>
    <mergeCell ref="U6:U8"/>
    <mergeCell ref="AD16:AD17"/>
    <mergeCell ref="W14:W15"/>
    <mergeCell ref="V16:V17"/>
    <mergeCell ref="R15:U15"/>
    <mergeCell ref="M2:M4"/>
    <mergeCell ref="P2:P4"/>
    <mergeCell ref="N2:N4"/>
    <mergeCell ref="L16:O17"/>
    <mergeCell ref="AD2:AD4"/>
    <mergeCell ref="AD6:AD8"/>
    <mergeCell ref="AB2:AB4"/>
    <mergeCell ref="AA2:AA4"/>
    <mergeCell ref="Z6:Z8"/>
    <mergeCell ref="AC2:AC4"/>
    <mergeCell ref="AC6:AC8"/>
    <mergeCell ref="W16:W17"/>
  </mergeCells>
  <printOptions horizontalCentered="1"/>
  <pageMargins left="0.23622047244094491" right="0.23622047244094491" top="0.74803149606299213" bottom="0.74803149606299213" header="0.31496062992125978" footer="0.31496062992125978"/>
  <pageSetup scale="44" fitToHeight="0" orientation="landscape"/>
  <rowBreaks count="1" manualBreakCount="1">
    <brk id="15" max="16383"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3">
    <tabColor theme="7" tint="0.39997558519241921"/>
  </sheetPr>
  <dimension ref="A1:AE26"/>
  <sheetViews>
    <sheetView topLeftCell="A16" zoomScale="50" zoomScaleNormal="50" zoomScaleSheetLayoutView="90" workbookViewId="0">
      <selection activeCell="A22" sqref="A22:A24"/>
    </sheetView>
  </sheetViews>
  <sheetFormatPr baseColWidth="10" defaultColWidth="11.44140625" defaultRowHeight="21" x14ac:dyDescent="0.4"/>
  <cols>
    <col min="1" max="1" width="20.6640625" style="5" customWidth="1"/>
    <col min="2" max="2" width="9.109375" customWidth="1"/>
    <col min="3" max="3" width="19.6640625" style="4" customWidth="1"/>
    <col min="4" max="4" width="9.33203125" customWidth="1"/>
    <col min="5" max="5" width="40.6640625" style="3" customWidth="1"/>
    <col min="6" max="6" width="8" customWidth="1"/>
    <col min="7" max="7" width="59.109375" customWidth="1"/>
    <col min="8" max="8" width="10.109375" customWidth="1"/>
    <col min="9" max="9" width="25.6640625" style="2" customWidth="1"/>
    <col min="10" max="10" width="25.6640625" style="1" customWidth="1"/>
    <col min="11" max="11" width="70.6640625" customWidth="1"/>
    <col min="12" max="16" width="25.6640625" customWidth="1"/>
    <col min="17" max="17" width="94" style="166" customWidth="1"/>
    <col min="18" max="22" width="21" customWidth="1"/>
    <col min="23" max="23" width="88.109375" customWidth="1"/>
    <col min="24" max="28" width="21.44140625" customWidth="1"/>
    <col min="29" max="29" width="85.44140625" customWidth="1"/>
    <col min="30" max="30" width="45.21875" customWidth="1"/>
  </cols>
  <sheetData>
    <row r="1" spans="1:31" s="28" customFormat="1" ht="51.45" customHeight="1" thickTop="1" thickBot="1" x14ac:dyDescent="0.35">
      <c r="A1" s="153" t="s">
        <v>0</v>
      </c>
      <c r="B1" s="153" t="s">
        <v>1</v>
      </c>
      <c r="C1" s="153" t="s">
        <v>2</v>
      </c>
      <c r="D1" s="153" t="s">
        <v>3</v>
      </c>
      <c r="E1" s="153" t="s">
        <v>4</v>
      </c>
      <c r="F1" s="153" t="s">
        <v>5</v>
      </c>
      <c r="G1" s="153" t="s">
        <v>6</v>
      </c>
      <c r="H1" s="153" t="s">
        <v>7</v>
      </c>
      <c r="I1" s="153" t="s">
        <v>8</v>
      </c>
      <c r="J1" s="153" t="s">
        <v>9</v>
      </c>
      <c r="K1" s="160" t="s">
        <v>10</v>
      </c>
      <c r="L1" s="153" t="s">
        <v>11</v>
      </c>
      <c r="M1" s="153" t="s">
        <v>12</v>
      </c>
      <c r="N1" s="153" t="s">
        <v>13</v>
      </c>
      <c r="O1" s="153" t="s">
        <v>14</v>
      </c>
      <c r="P1" s="153" t="s">
        <v>15</v>
      </c>
      <c r="Q1" s="160" t="s">
        <v>16</v>
      </c>
      <c r="R1" s="153" t="s">
        <v>17</v>
      </c>
      <c r="S1" s="153" t="s">
        <v>18</v>
      </c>
      <c r="T1" s="153" t="s">
        <v>19</v>
      </c>
      <c r="U1" s="153" t="s">
        <v>20</v>
      </c>
      <c r="V1" s="153" t="s">
        <v>21</v>
      </c>
      <c r="W1" s="160" t="s">
        <v>22</v>
      </c>
      <c r="X1" s="153" t="s">
        <v>23</v>
      </c>
      <c r="Y1" s="153" t="s">
        <v>24</v>
      </c>
      <c r="Z1" s="153" t="s">
        <v>25</v>
      </c>
      <c r="AA1" s="153" t="s">
        <v>26</v>
      </c>
      <c r="AB1" s="153" t="s">
        <v>27</v>
      </c>
      <c r="AC1" s="160" t="s">
        <v>28</v>
      </c>
      <c r="AD1" s="28" t="s">
        <v>29</v>
      </c>
    </row>
    <row r="2" spans="1:31" ht="41.25" customHeight="1" thickTop="1" thickBot="1" x14ac:dyDescent="0.35">
      <c r="A2" s="387" t="s">
        <v>30</v>
      </c>
      <c r="B2" s="414">
        <v>0.2</v>
      </c>
      <c r="C2" s="391" t="s">
        <v>31</v>
      </c>
      <c r="D2" s="409">
        <f>$B$2/3</f>
        <v>6.6666666666666666E-2</v>
      </c>
      <c r="E2" s="393" t="s">
        <v>32</v>
      </c>
      <c r="F2" s="413">
        <f>$B$2/6</f>
        <v>3.3333333333333333E-2</v>
      </c>
      <c r="G2" s="40" t="s">
        <v>33</v>
      </c>
      <c r="H2" s="27">
        <v>1</v>
      </c>
      <c r="I2" s="443">
        <v>0.95</v>
      </c>
      <c r="J2" s="442">
        <f>I2*$F$2</f>
        <v>3.1666666666666662E-2</v>
      </c>
      <c r="K2" s="439" t="s">
        <v>267</v>
      </c>
      <c r="L2" s="443">
        <v>0.96</v>
      </c>
      <c r="M2" s="442">
        <f>L2*$F$2</f>
        <v>3.2000000000000001E-2</v>
      </c>
      <c r="N2" s="443">
        <v>1</v>
      </c>
      <c r="O2" s="442">
        <f>N2*$F$2</f>
        <v>3.3333333333333333E-2</v>
      </c>
      <c r="P2" s="442">
        <f>AVERAGE(M2,O2)</f>
        <v>3.2666666666666663E-2</v>
      </c>
      <c r="Q2" s="447" t="s">
        <v>268</v>
      </c>
      <c r="R2" s="443">
        <v>1</v>
      </c>
      <c r="S2" s="442">
        <f>R2*$F$2</f>
        <v>3.3333333333333333E-2</v>
      </c>
      <c r="T2" s="443">
        <v>0.96</v>
      </c>
      <c r="U2" s="442">
        <f>T2*$F$2</f>
        <v>3.2000000000000001E-2</v>
      </c>
      <c r="V2" s="449">
        <f>AVERAGE(S2,U2)</f>
        <v>3.2666666666666663E-2</v>
      </c>
      <c r="W2" s="407" t="s">
        <v>269</v>
      </c>
      <c r="X2" s="351">
        <v>1</v>
      </c>
      <c r="Y2" s="358">
        <f>X2*$F$2</f>
        <v>3.3333333333333333E-2</v>
      </c>
      <c r="Z2" s="349">
        <v>0.97</v>
      </c>
      <c r="AA2" s="358">
        <f>Z2*$F$2</f>
        <v>3.2333333333333332E-2</v>
      </c>
      <c r="AB2" s="350">
        <f>AVERAGE(Y2,AA2)</f>
        <v>3.2833333333333332E-2</v>
      </c>
      <c r="AC2" s="360" t="s">
        <v>270</v>
      </c>
      <c r="AD2" s="393" t="s">
        <v>38</v>
      </c>
    </row>
    <row r="3" spans="1:31" ht="69.75" customHeight="1" thickTop="1" thickBot="1" x14ac:dyDescent="0.35">
      <c r="A3" s="388"/>
      <c r="B3" s="341"/>
      <c r="C3" s="392"/>
      <c r="D3" s="341"/>
      <c r="E3" s="397"/>
      <c r="F3" s="341"/>
      <c r="G3" s="40" t="s">
        <v>39</v>
      </c>
      <c r="H3" s="26">
        <v>0.8</v>
      </c>
      <c r="I3" s="336"/>
      <c r="J3" s="336"/>
      <c r="K3" s="336"/>
      <c r="L3" s="336"/>
      <c r="M3" s="336"/>
      <c r="N3" s="336"/>
      <c r="O3" s="336"/>
      <c r="P3" s="336"/>
      <c r="Q3" s="336"/>
      <c r="R3" s="336"/>
      <c r="S3" s="336"/>
      <c r="T3" s="336"/>
      <c r="U3" s="336"/>
      <c r="V3" s="347"/>
      <c r="W3" s="361"/>
      <c r="X3" s="352"/>
      <c r="Y3" s="336"/>
      <c r="Z3" s="336"/>
      <c r="AA3" s="336"/>
      <c r="AB3" s="347"/>
      <c r="AC3" s="361"/>
      <c r="AD3" s="341"/>
      <c r="AE3" s="218"/>
    </row>
    <row r="4" spans="1:31" ht="36.75" customHeight="1" thickTop="1" thickBot="1" x14ac:dyDescent="0.35">
      <c r="A4" s="388"/>
      <c r="B4" s="341"/>
      <c r="C4" s="392"/>
      <c r="D4" s="341"/>
      <c r="E4" s="389"/>
      <c r="F4" s="389"/>
      <c r="G4" s="40" t="s">
        <v>40</v>
      </c>
      <c r="H4" s="25">
        <v>0</v>
      </c>
      <c r="I4" s="332"/>
      <c r="J4" s="332"/>
      <c r="K4" s="332"/>
      <c r="L4" s="332"/>
      <c r="M4" s="332"/>
      <c r="N4" s="332"/>
      <c r="O4" s="332"/>
      <c r="P4" s="332"/>
      <c r="Q4" s="332"/>
      <c r="R4" s="332"/>
      <c r="S4" s="332"/>
      <c r="T4" s="332"/>
      <c r="U4" s="332"/>
      <c r="V4" s="334"/>
      <c r="W4" s="362"/>
      <c r="X4" s="354"/>
      <c r="Y4" s="332"/>
      <c r="Z4" s="332"/>
      <c r="AA4" s="332"/>
      <c r="AB4" s="334"/>
      <c r="AC4" s="362"/>
      <c r="AD4" s="389"/>
      <c r="AE4" s="218"/>
    </row>
    <row r="5" spans="1:31" ht="111" customHeight="1" thickTop="1" thickBot="1" x14ac:dyDescent="0.35">
      <c r="A5" s="388"/>
      <c r="B5" s="341"/>
      <c r="C5" s="389"/>
      <c r="D5" s="389"/>
      <c r="E5" s="12" t="s">
        <v>41</v>
      </c>
      <c r="F5" s="24">
        <f>$B$2/6</f>
        <v>3.3333333333333333E-2</v>
      </c>
      <c r="G5" s="40" t="s">
        <v>42</v>
      </c>
      <c r="H5" s="23" t="s">
        <v>43</v>
      </c>
      <c r="I5" s="43">
        <v>0.85</v>
      </c>
      <c r="J5" s="48">
        <f>I5*$F$5</f>
        <v>2.8333333333333332E-2</v>
      </c>
      <c r="K5" s="47" t="s">
        <v>271</v>
      </c>
      <c r="L5" s="43">
        <v>1</v>
      </c>
      <c r="M5" s="48">
        <f>L5*$F$5</f>
        <v>3.3333333333333333E-2</v>
      </c>
      <c r="N5" s="43">
        <v>1</v>
      </c>
      <c r="O5" s="48">
        <f>N5*$F$5</f>
        <v>3.3333333333333333E-2</v>
      </c>
      <c r="P5" s="48">
        <f>AVERAGE(M5,O5)</f>
        <v>3.3333333333333333E-2</v>
      </c>
      <c r="Q5" s="78" t="s">
        <v>123</v>
      </c>
      <c r="R5" s="43">
        <v>1</v>
      </c>
      <c r="S5" s="48">
        <f>R5*$F$5</f>
        <v>3.3333333333333333E-2</v>
      </c>
      <c r="T5" s="43">
        <v>0.96</v>
      </c>
      <c r="U5" s="48">
        <f>T5*$F$5</f>
        <v>3.2000000000000001E-2</v>
      </c>
      <c r="V5" s="165">
        <f>AVERAGE(S5,U5)</f>
        <v>3.2666666666666663E-2</v>
      </c>
      <c r="W5" s="241" t="s">
        <v>272</v>
      </c>
      <c r="X5" s="201">
        <v>1</v>
      </c>
      <c r="Y5" s="48">
        <f>X5*$F$5</f>
        <v>3.3333333333333333E-2</v>
      </c>
      <c r="Z5" s="43">
        <v>1</v>
      </c>
      <c r="AA5" s="48">
        <f>Z5*$F$5</f>
        <v>3.3333333333333333E-2</v>
      </c>
      <c r="AB5" s="165">
        <f>AVERAGE(Y5,AA5)</f>
        <v>3.3333333333333333E-2</v>
      </c>
      <c r="AC5" s="231" t="s">
        <v>273</v>
      </c>
      <c r="AD5" s="12" t="s">
        <v>38</v>
      </c>
      <c r="AE5" s="218"/>
    </row>
    <row r="6" spans="1:31" ht="18.600000000000001" customHeight="1" thickTop="1" thickBot="1" x14ac:dyDescent="0.35">
      <c r="A6" s="388"/>
      <c r="B6" s="341"/>
      <c r="C6" s="391" t="s">
        <v>200</v>
      </c>
      <c r="D6" s="409">
        <f>$B$2/3</f>
        <v>6.6666666666666666E-2</v>
      </c>
      <c r="E6" s="393" t="s">
        <v>32</v>
      </c>
      <c r="F6" s="413">
        <f>$B$2/6</f>
        <v>3.3333333333333333E-2</v>
      </c>
      <c r="G6" s="40" t="s">
        <v>33</v>
      </c>
      <c r="H6" s="27">
        <v>1</v>
      </c>
      <c r="I6" s="359">
        <v>0</v>
      </c>
      <c r="J6" s="368">
        <f>I6*$F$6</f>
        <v>0</v>
      </c>
      <c r="K6" s="448" t="s">
        <v>274</v>
      </c>
      <c r="L6" s="359">
        <v>1</v>
      </c>
      <c r="M6" s="368">
        <f>L6*$F$6</f>
        <v>3.3333333333333333E-2</v>
      </c>
      <c r="N6" s="359">
        <v>1</v>
      </c>
      <c r="O6" s="368">
        <f>N6*$F$6</f>
        <v>3.3333333333333333E-2</v>
      </c>
      <c r="P6" s="368">
        <f>AVERAGE(M6,O6)</f>
        <v>3.3333333333333333E-2</v>
      </c>
      <c r="Q6" s="369" t="s">
        <v>275</v>
      </c>
      <c r="R6" s="359">
        <v>1</v>
      </c>
      <c r="S6" s="368">
        <f>R6*$F$6</f>
        <v>3.3333333333333333E-2</v>
      </c>
      <c r="T6" s="359">
        <v>0.8</v>
      </c>
      <c r="U6" s="368">
        <f>T6*$F$6</f>
        <v>2.6666666666666668E-2</v>
      </c>
      <c r="V6" s="386">
        <f>AVERAGE(S6,U6)</f>
        <v>0.03</v>
      </c>
      <c r="W6" s="441" t="s">
        <v>203</v>
      </c>
      <c r="X6" s="366">
        <v>0.75</v>
      </c>
      <c r="Y6" s="368">
        <f>X6*$F$6</f>
        <v>2.5000000000000001E-2</v>
      </c>
      <c r="Z6" s="359">
        <v>0.66669999999999996</v>
      </c>
      <c r="AA6" s="368">
        <f>Z6*$F$6</f>
        <v>2.2223333333333331E-2</v>
      </c>
      <c r="AB6" s="386">
        <f>AVERAGE(Y6,AA6)</f>
        <v>2.3611666666666666E-2</v>
      </c>
      <c r="AC6" s="431" t="s">
        <v>203</v>
      </c>
      <c r="AD6" s="393" t="s">
        <v>38</v>
      </c>
    </row>
    <row r="7" spans="1:31" ht="18.600000000000001" customHeight="1" thickTop="1" thickBot="1" x14ac:dyDescent="0.35">
      <c r="A7" s="388"/>
      <c r="B7" s="341"/>
      <c r="C7" s="392"/>
      <c r="D7" s="341"/>
      <c r="E7" s="397"/>
      <c r="F7" s="341"/>
      <c r="G7" s="40" t="s">
        <v>39</v>
      </c>
      <c r="H7" s="26">
        <v>0.8</v>
      </c>
      <c r="I7" s="336"/>
      <c r="J7" s="336"/>
      <c r="K7" s="336"/>
      <c r="L7" s="336"/>
      <c r="M7" s="336"/>
      <c r="N7" s="336"/>
      <c r="O7" s="336"/>
      <c r="P7" s="336"/>
      <c r="Q7" s="336"/>
      <c r="R7" s="336"/>
      <c r="S7" s="336"/>
      <c r="T7" s="336"/>
      <c r="U7" s="336"/>
      <c r="V7" s="347"/>
      <c r="W7" s="361"/>
      <c r="X7" s="352"/>
      <c r="Y7" s="336"/>
      <c r="Z7" s="336"/>
      <c r="AA7" s="336"/>
      <c r="AB7" s="347"/>
      <c r="AC7" s="361"/>
      <c r="AD7" s="341"/>
    </row>
    <row r="8" spans="1:31" ht="75.75" customHeight="1" thickTop="1" thickBot="1" x14ac:dyDescent="0.35">
      <c r="A8" s="388"/>
      <c r="B8" s="341"/>
      <c r="C8" s="392"/>
      <c r="D8" s="341"/>
      <c r="E8" s="389"/>
      <c r="F8" s="389"/>
      <c r="G8" s="40" t="s">
        <v>40</v>
      </c>
      <c r="H8" s="25">
        <v>0</v>
      </c>
      <c r="I8" s="332"/>
      <c r="J8" s="332"/>
      <c r="K8" s="332"/>
      <c r="L8" s="332"/>
      <c r="M8" s="332"/>
      <c r="N8" s="332"/>
      <c r="O8" s="332"/>
      <c r="P8" s="332"/>
      <c r="Q8" s="332"/>
      <c r="R8" s="332"/>
      <c r="S8" s="332"/>
      <c r="T8" s="332"/>
      <c r="U8" s="332"/>
      <c r="V8" s="334"/>
      <c r="W8" s="362"/>
      <c r="X8" s="354"/>
      <c r="Y8" s="332"/>
      <c r="Z8" s="332"/>
      <c r="AA8" s="332"/>
      <c r="AB8" s="334"/>
      <c r="AC8" s="362"/>
      <c r="AD8" s="389"/>
    </row>
    <row r="9" spans="1:31" ht="83.25" customHeight="1" thickTop="1" thickBot="1" x14ac:dyDescent="0.35">
      <c r="A9" s="388"/>
      <c r="B9" s="341"/>
      <c r="C9" s="389"/>
      <c r="D9" s="389"/>
      <c r="E9" s="12" t="s">
        <v>41</v>
      </c>
      <c r="F9" s="24">
        <f>$B$2/6</f>
        <v>3.3333333333333333E-2</v>
      </c>
      <c r="G9" s="40" t="s">
        <v>42</v>
      </c>
      <c r="H9" s="23" t="s">
        <v>43</v>
      </c>
      <c r="I9" s="43">
        <v>0</v>
      </c>
      <c r="J9" s="48">
        <f>I9*$F$9</f>
        <v>0</v>
      </c>
      <c r="K9" s="47" t="s">
        <v>274</v>
      </c>
      <c r="L9" s="43">
        <v>1</v>
      </c>
      <c r="M9" s="48">
        <f>L9*$F$9</f>
        <v>3.3333333333333333E-2</v>
      </c>
      <c r="N9" s="43">
        <v>1</v>
      </c>
      <c r="O9" s="48">
        <f>N9*$F$9</f>
        <v>3.3333333333333333E-2</v>
      </c>
      <c r="P9" s="48">
        <f>AVERAGE(M9,O9)</f>
        <v>3.3333333333333333E-2</v>
      </c>
      <c r="Q9" s="78" t="s">
        <v>275</v>
      </c>
      <c r="R9" s="43">
        <v>0.72499999999999998</v>
      </c>
      <c r="S9" s="48">
        <f>R9*$F$9</f>
        <v>2.4166666666666666E-2</v>
      </c>
      <c r="T9" s="43">
        <v>0.55000000000000004</v>
      </c>
      <c r="U9" s="48">
        <f>T9*$F$9</f>
        <v>1.8333333333333333E-2</v>
      </c>
      <c r="V9" s="165">
        <f>AVERAGE(S9,U9)</f>
        <v>2.1249999999999998E-2</v>
      </c>
      <c r="W9" s="227" t="s">
        <v>276</v>
      </c>
      <c r="X9" s="201">
        <v>0.52500000000000002</v>
      </c>
      <c r="Y9" s="48">
        <f>X9*$F$9</f>
        <v>1.7500000000000002E-2</v>
      </c>
      <c r="Z9" s="43">
        <v>0.36670000000000003</v>
      </c>
      <c r="AA9" s="48">
        <f>Z9*$F$9</f>
        <v>1.2223333333333334E-2</v>
      </c>
      <c r="AB9" s="165">
        <f>AVERAGE(Y9,AA9)</f>
        <v>1.4861666666666669E-2</v>
      </c>
      <c r="AC9" s="232" t="s">
        <v>277</v>
      </c>
      <c r="AD9" s="12" t="s">
        <v>38</v>
      </c>
    </row>
    <row r="10" spans="1:31" ht="18.600000000000001" customHeight="1" thickTop="1" thickBot="1" x14ac:dyDescent="0.35">
      <c r="A10" s="388"/>
      <c r="B10" s="341"/>
      <c r="C10" s="391" t="s">
        <v>46</v>
      </c>
      <c r="D10" s="409">
        <f>$B$2/3</f>
        <v>6.6666666666666666E-2</v>
      </c>
      <c r="E10" s="393" t="s">
        <v>32</v>
      </c>
      <c r="F10" s="413">
        <f>$B$2/6</f>
        <v>3.3333333333333333E-2</v>
      </c>
      <c r="G10" s="40" t="s">
        <v>33</v>
      </c>
      <c r="H10" s="27">
        <v>1</v>
      </c>
      <c r="I10" s="359">
        <v>1</v>
      </c>
      <c r="J10" s="368">
        <f>I10*$F$10</f>
        <v>3.3333333333333333E-2</v>
      </c>
      <c r="K10" s="426" t="s">
        <v>245</v>
      </c>
      <c r="L10" s="359">
        <v>1</v>
      </c>
      <c r="M10" s="368">
        <f>L10*$F$10</f>
        <v>3.3333333333333333E-2</v>
      </c>
      <c r="N10" s="359">
        <v>1</v>
      </c>
      <c r="O10" s="368">
        <f>N10*$F$10</f>
        <v>3.3333333333333333E-2</v>
      </c>
      <c r="P10" s="368">
        <f>AVERAGE(M10,O10)</f>
        <v>3.3333333333333333E-2</v>
      </c>
      <c r="Q10" s="444" t="s">
        <v>168</v>
      </c>
      <c r="R10" s="359">
        <v>1</v>
      </c>
      <c r="S10" s="368">
        <f>R10*$F$10</f>
        <v>3.3333333333333333E-2</v>
      </c>
      <c r="T10" s="359">
        <v>1</v>
      </c>
      <c r="U10" s="368">
        <f>T10*$F$10</f>
        <v>3.3333333333333333E-2</v>
      </c>
      <c r="V10" s="386">
        <f>AVERAGE(S10,U10)</f>
        <v>3.3333333333333333E-2</v>
      </c>
      <c r="W10" s="450" t="s">
        <v>168</v>
      </c>
      <c r="X10" s="366">
        <v>1</v>
      </c>
      <c r="Y10" s="368">
        <f>X10*$F$10</f>
        <v>3.3333333333333333E-2</v>
      </c>
      <c r="Z10" s="359">
        <v>1</v>
      </c>
      <c r="AA10" s="368">
        <f>Z10*$F$10</f>
        <v>3.3333333333333333E-2</v>
      </c>
      <c r="AB10" s="386">
        <f>AVERAGE(Y10,AA10)</f>
        <v>3.3333333333333333E-2</v>
      </c>
      <c r="AC10" s="450" t="s">
        <v>168</v>
      </c>
      <c r="AD10" s="393" t="s">
        <v>38</v>
      </c>
    </row>
    <row r="11" spans="1:31" ht="18.600000000000001" customHeight="1" thickTop="1" thickBot="1" x14ac:dyDescent="0.35">
      <c r="A11" s="388"/>
      <c r="B11" s="341"/>
      <c r="C11" s="392"/>
      <c r="D11" s="341"/>
      <c r="E11" s="397"/>
      <c r="F11" s="341"/>
      <c r="G11" s="40" t="s">
        <v>39</v>
      </c>
      <c r="H11" s="26">
        <v>0.8</v>
      </c>
      <c r="I11" s="336"/>
      <c r="J11" s="336"/>
      <c r="K11" s="336"/>
      <c r="L11" s="336"/>
      <c r="M11" s="336"/>
      <c r="N11" s="336"/>
      <c r="O11" s="336"/>
      <c r="P11" s="336"/>
      <c r="Q11" s="336"/>
      <c r="R11" s="336"/>
      <c r="S11" s="336"/>
      <c r="T11" s="336"/>
      <c r="U11" s="336"/>
      <c r="V11" s="347"/>
      <c r="W11" s="361"/>
      <c r="X11" s="352"/>
      <c r="Y11" s="336"/>
      <c r="Z11" s="336"/>
      <c r="AA11" s="336"/>
      <c r="AB11" s="347"/>
      <c r="AC11" s="361"/>
      <c r="AD11" s="341"/>
    </row>
    <row r="12" spans="1:31" ht="71.400000000000006" customHeight="1" thickTop="1" thickBot="1" x14ac:dyDescent="0.35">
      <c r="A12" s="388"/>
      <c r="B12" s="341"/>
      <c r="C12" s="392"/>
      <c r="D12" s="341"/>
      <c r="E12" s="389"/>
      <c r="F12" s="389"/>
      <c r="G12" s="40" t="s">
        <v>40</v>
      </c>
      <c r="H12" s="25">
        <v>0.5</v>
      </c>
      <c r="I12" s="332"/>
      <c r="J12" s="332"/>
      <c r="K12" s="332"/>
      <c r="L12" s="332"/>
      <c r="M12" s="332"/>
      <c r="N12" s="332"/>
      <c r="O12" s="332"/>
      <c r="P12" s="332"/>
      <c r="Q12" s="445"/>
      <c r="R12" s="332"/>
      <c r="S12" s="332"/>
      <c r="T12" s="332"/>
      <c r="U12" s="332"/>
      <c r="V12" s="334"/>
      <c r="W12" s="404"/>
      <c r="X12" s="354"/>
      <c r="Y12" s="332"/>
      <c r="Z12" s="332"/>
      <c r="AA12" s="332"/>
      <c r="AB12" s="334"/>
      <c r="AC12" s="404"/>
      <c r="AD12" s="389"/>
    </row>
    <row r="13" spans="1:31" ht="118.2" customHeight="1" thickTop="1" thickBot="1" x14ac:dyDescent="0.35">
      <c r="A13" s="389"/>
      <c r="B13" s="389"/>
      <c r="C13" s="389"/>
      <c r="D13" s="389"/>
      <c r="E13" s="12" t="s">
        <v>41</v>
      </c>
      <c r="F13" s="24">
        <f>$B$2/6</f>
        <v>3.3333333333333333E-2</v>
      </c>
      <c r="G13" s="40" t="s">
        <v>42</v>
      </c>
      <c r="H13" s="23" t="s">
        <v>43</v>
      </c>
      <c r="I13" s="43">
        <v>1</v>
      </c>
      <c r="J13" s="48">
        <f>I13*$F$13</f>
        <v>3.3333333333333333E-2</v>
      </c>
      <c r="K13" s="46" t="s">
        <v>278</v>
      </c>
      <c r="L13" s="43">
        <v>1</v>
      </c>
      <c r="M13" s="48">
        <f>L13*$F$13</f>
        <v>3.3333333333333333E-2</v>
      </c>
      <c r="N13" s="43">
        <v>1</v>
      </c>
      <c r="O13" s="48">
        <f>N13*$F$13</f>
        <v>3.3333333333333333E-2</v>
      </c>
      <c r="P13" s="165">
        <f t="shared" ref="P13:P21" si="0">AVERAGE(M13,O13)</f>
        <v>3.3333333333333333E-2</v>
      </c>
      <c r="Q13" s="173" t="s">
        <v>170</v>
      </c>
      <c r="R13" s="43">
        <v>0.86</v>
      </c>
      <c r="S13" s="48">
        <f>R13*$F$13</f>
        <v>2.8666666666666667E-2</v>
      </c>
      <c r="T13" s="43">
        <v>0.86</v>
      </c>
      <c r="U13" s="48">
        <f>T13*$F$13</f>
        <v>2.8666666666666667E-2</v>
      </c>
      <c r="V13" s="165">
        <f>AVERAGE(S13,U13)</f>
        <v>2.8666666666666667E-2</v>
      </c>
      <c r="W13" s="279" t="s">
        <v>279</v>
      </c>
      <c r="X13" s="182">
        <v>1</v>
      </c>
      <c r="Y13" s="147">
        <f>X13*$F$13</f>
        <v>3.3333333333333333E-2</v>
      </c>
      <c r="Z13" s="151">
        <v>1</v>
      </c>
      <c r="AA13" s="147">
        <f>Z13*$F$13</f>
        <v>3.3333333333333333E-2</v>
      </c>
      <c r="AB13" s="161">
        <f>AVERAGE(Y13,AA13)</f>
        <v>3.3333333333333333E-2</v>
      </c>
      <c r="AC13" s="279" t="s">
        <v>280</v>
      </c>
      <c r="AD13" s="12" t="s">
        <v>38</v>
      </c>
    </row>
    <row r="14" spans="1:31" ht="139.19999999999999" customHeight="1" thickTop="1" thickBot="1" x14ac:dyDescent="0.35">
      <c r="A14" s="422" t="s">
        <v>55</v>
      </c>
      <c r="B14" s="414">
        <v>0.25</v>
      </c>
      <c r="C14" s="30" t="s">
        <v>31</v>
      </c>
      <c r="D14" s="20">
        <v>0.05</v>
      </c>
      <c r="E14" s="10" t="s">
        <v>56</v>
      </c>
      <c r="F14" s="20">
        <v>0.05</v>
      </c>
      <c r="G14" s="32" t="s">
        <v>57</v>
      </c>
      <c r="H14" s="19" t="s">
        <v>43</v>
      </c>
      <c r="I14" s="43">
        <v>0.85</v>
      </c>
      <c r="J14" s="48">
        <f>I14*$F$14</f>
        <v>4.2500000000000003E-2</v>
      </c>
      <c r="K14" s="47" t="s">
        <v>281</v>
      </c>
      <c r="L14" s="43">
        <v>0.98</v>
      </c>
      <c r="M14" s="48">
        <f>L14*$F$14</f>
        <v>4.9000000000000002E-2</v>
      </c>
      <c r="N14" s="43">
        <v>1</v>
      </c>
      <c r="O14" s="48">
        <f>N14*$F$14</f>
        <v>0.05</v>
      </c>
      <c r="P14" s="48">
        <f t="shared" si="0"/>
        <v>4.9500000000000002E-2</v>
      </c>
      <c r="Q14" s="172" t="s">
        <v>282</v>
      </c>
      <c r="R14" s="43">
        <v>1</v>
      </c>
      <c r="S14" s="48">
        <f>R14*$F$14</f>
        <v>0.05</v>
      </c>
      <c r="T14" s="43">
        <v>0.96</v>
      </c>
      <c r="U14" s="48">
        <f>T14*$F$14</f>
        <v>4.8000000000000001E-2</v>
      </c>
      <c r="V14" s="165">
        <f>AVERAGE(S14,U14)</f>
        <v>4.9000000000000002E-2</v>
      </c>
      <c r="W14" s="252" t="s">
        <v>283</v>
      </c>
      <c r="X14" s="182">
        <v>1</v>
      </c>
      <c r="Y14" s="147">
        <f>X14*$F$14</f>
        <v>0.05</v>
      </c>
      <c r="Z14" s="151">
        <v>0.98499999999999999</v>
      </c>
      <c r="AA14" s="147">
        <f>Z14*$F$14</f>
        <v>4.9250000000000002E-2</v>
      </c>
      <c r="AB14" s="161">
        <f>AVERAGE(Y14,AA14)</f>
        <v>4.9625000000000002E-2</v>
      </c>
      <c r="AC14" s="233" t="s">
        <v>284</v>
      </c>
      <c r="AD14" s="10" t="s">
        <v>38</v>
      </c>
    </row>
    <row r="15" spans="1:31" s="41" customFormat="1" ht="136.19999999999999" customHeight="1" thickTop="1" thickBot="1" x14ac:dyDescent="0.35">
      <c r="A15" s="440"/>
      <c r="B15" s="440"/>
      <c r="C15" s="49" t="s">
        <v>200</v>
      </c>
      <c r="D15" s="50">
        <v>0.05</v>
      </c>
      <c r="E15" s="51" t="s">
        <v>213</v>
      </c>
      <c r="F15" s="50">
        <v>0.05</v>
      </c>
      <c r="G15" s="52" t="s">
        <v>214</v>
      </c>
      <c r="H15" s="53" t="s">
        <v>43</v>
      </c>
      <c r="I15" s="43">
        <v>0.5</v>
      </c>
      <c r="J15" s="54">
        <f>I15*$F$15</f>
        <v>2.5000000000000001E-2</v>
      </c>
      <c r="K15" s="47" t="s">
        <v>285</v>
      </c>
      <c r="L15" s="43">
        <v>0</v>
      </c>
      <c r="M15" s="54">
        <f>L15*$F$15</f>
        <v>0</v>
      </c>
      <c r="N15" s="43">
        <v>0.66659999999999997</v>
      </c>
      <c r="O15" s="54">
        <f>N15*$F$15</f>
        <v>3.3329999999999999E-2</v>
      </c>
      <c r="P15" s="54">
        <f t="shared" si="0"/>
        <v>1.6664999999999999E-2</v>
      </c>
      <c r="Q15" s="71" t="s">
        <v>286</v>
      </c>
      <c r="R15" s="43">
        <v>0.48499999999999999</v>
      </c>
      <c r="S15" s="54">
        <f>R15*$F$15</f>
        <v>2.4250000000000001E-2</v>
      </c>
      <c r="T15" s="43">
        <v>0.65669999999999995</v>
      </c>
      <c r="U15" s="54">
        <f>T15*$F$15</f>
        <v>3.2834999999999996E-2</v>
      </c>
      <c r="V15" s="254">
        <f>AVERAGE(S15,U15)</f>
        <v>2.8542499999999998E-2</v>
      </c>
      <c r="W15" s="248" t="s">
        <v>217</v>
      </c>
      <c r="X15" s="182">
        <v>0.49249999999999999</v>
      </c>
      <c r="Y15" s="147">
        <f>X15*$F$15</f>
        <v>2.4625000000000001E-2</v>
      </c>
      <c r="Z15" s="151">
        <v>0.49</v>
      </c>
      <c r="AA15" s="147">
        <f>Z15*$F$15</f>
        <v>2.4500000000000001E-2</v>
      </c>
      <c r="AB15" s="161">
        <f>AVERAGE(Y15,AA15)</f>
        <v>2.4562500000000001E-2</v>
      </c>
      <c r="AC15" s="234" t="s">
        <v>217</v>
      </c>
      <c r="AD15" s="51" t="s">
        <v>38</v>
      </c>
    </row>
    <row r="16" spans="1:31" ht="70.2" customHeight="1" thickTop="1" thickBot="1" x14ac:dyDescent="0.35">
      <c r="A16" s="388"/>
      <c r="B16" s="341"/>
      <c r="C16" s="30" t="s">
        <v>135</v>
      </c>
      <c r="D16" s="20">
        <v>0.05</v>
      </c>
      <c r="E16" s="10" t="s">
        <v>136</v>
      </c>
      <c r="F16" s="20">
        <v>0.05</v>
      </c>
      <c r="G16" s="32" t="s">
        <v>137</v>
      </c>
      <c r="H16" s="19" t="s">
        <v>43</v>
      </c>
      <c r="I16" s="43">
        <v>0.66</v>
      </c>
      <c r="J16" s="48">
        <f>I16*$F$16</f>
        <v>3.3000000000000002E-2</v>
      </c>
      <c r="K16" s="47" t="s">
        <v>218</v>
      </c>
      <c r="L16" s="43">
        <v>0.93</v>
      </c>
      <c r="M16" s="48">
        <f>L16*$F$16</f>
        <v>4.6500000000000007E-2</v>
      </c>
      <c r="N16" s="43">
        <v>0.93</v>
      </c>
      <c r="O16" s="48">
        <f>N16*$F$16</f>
        <v>4.6500000000000007E-2</v>
      </c>
      <c r="P16" s="48">
        <f t="shared" si="0"/>
        <v>4.6500000000000007E-2</v>
      </c>
      <c r="Q16" s="78" t="s">
        <v>175</v>
      </c>
      <c r="R16" s="420">
        <v>0.93</v>
      </c>
      <c r="S16" s="364"/>
      <c r="T16" s="364"/>
      <c r="U16" s="365"/>
      <c r="V16" s="165">
        <f>R16*D16</f>
        <v>4.6500000000000007E-2</v>
      </c>
      <c r="W16" s="241" t="s">
        <v>219</v>
      </c>
      <c r="X16" s="430">
        <v>0.95</v>
      </c>
      <c r="Y16" s="353"/>
      <c r="Z16" s="353"/>
      <c r="AA16" s="354"/>
      <c r="AB16" s="202">
        <f>X16*D16</f>
        <v>4.7500000000000001E-2</v>
      </c>
      <c r="AC16" s="241" t="s">
        <v>287</v>
      </c>
      <c r="AD16" s="10" t="s">
        <v>82</v>
      </c>
    </row>
    <row r="17" spans="1:30" ht="60.6" customHeight="1" thickTop="1" thickBot="1" x14ac:dyDescent="0.35">
      <c r="A17" s="388"/>
      <c r="B17" s="341"/>
      <c r="C17" s="29" t="s">
        <v>142</v>
      </c>
      <c r="D17" s="22">
        <v>0.05</v>
      </c>
      <c r="E17" s="12" t="s">
        <v>143</v>
      </c>
      <c r="F17" s="22">
        <v>0.05</v>
      </c>
      <c r="G17" s="34" t="s">
        <v>144</v>
      </c>
      <c r="H17" s="21" t="s">
        <v>43</v>
      </c>
      <c r="I17" s="43">
        <v>1</v>
      </c>
      <c r="J17" s="48">
        <f>I17*$F$17</f>
        <v>0.05</v>
      </c>
      <c r="K17" s="47" t="s">
        <v>288</v>
      </c>
      <c r="L17" s="43">
        <v>1</v>
      </c>
      <c r="M17" s="48">
        <f>L17*$F$17</f>
        <v>0.05</v>
      </c>
      <c r="N17" s="43">
        <v>1</v>
      </c>
      <c r="O17" s="48">
        <f>N17*$F$17</f>
        <v>0.05</v>
      </c>
      <c r="P17" s="48">
        <f t="shared" si="0"/>
        <v>0.05</v>
      </c>
      <c r="Q17" s="78" t="s">
        <v>289</v>
      </c>
      <c r="R17" s="43">
        <v>1</v>
      </c>
      <c r="S17" s="48">
        <f>R17*$F$17</f>
        <v>0.05</v>
      </c>
      <c r="T17" s="43">
        <v>1</v>
      </c>
      <c r="U17" s="48">
        <f>T17*$F$17</f>
        <v>0.05</v>
      </c>
      <c r="V17" s="165">
        <f>AVERAGE(S17,U17)</f>
        <v>0.05</v>
      </c>
      <c r="W17" s="241" t="s">
        <v>289</v>
      </c>
      <c r="X17" s="201">
        <v>1</v>
      </c>
      <c r="Y17" s="48">
        <f>X17*$F$17</f>
        <v>0.05</v>
      </c>
      <c r="Z17" s="43">
        <v>1</v>
      </c>
      <c r="AA17" s="48">
        <f>Z17*$F$17</f>
        <v>0.05</v>
      </c>
      <c r="AB17" s="165">
        <f>AVERAGE(Y17,AA17)</f>
        <v>0.05</v>
      </c>
      <c r="AC17" s="241" t="s">
        <v>289</v>
      </c>
      <c r="AD17" s="12" t="s">
        <v>38</v>
      </c>
    </row>
    <row r="18" spans="1:30" ht="106.5" customHeight="1" thickTop="1" thickBot="1" x14ac:dyDescent="0.35">
      <c r="A18" s="388"/>
      <c r="B18" s="341"/>
      <c r="C18" s="30" t="s">
        <v>60</v>
      </c>
      <c r="D18" s="20">
        <v>0.03</v>
      </c>
      <c r="E18" s="10" t="s">
        <v>61</v>
      </c>
      <c r="F18" s="20">
        <v>0.03</v>
      </c>
      <c r="G18" s="32" t="s">
        <v>62</v>
      </c>
      <c r="H18" s="19" t="s">
        <v>43</v>
      </c>
      <c r="I18" s="43">
        <v>1</v>
      </c>
      <c r="J18" s="48">
        <f>I18*$F$18</f>
        <v>0.03</v>
      </c>
      <c r="K18" s="47" t="s">
        <v>290</v>
      </c>
      <c r="L18" s="43">
        <v>1</v>
      </c>
      <c r="M18" s="48">
        <f>L18*$F18</f>
        <v>0.03</v>
      </c>
      <c r="N18" s="43">
        <v>1</v>
      </c>
      <c r="O18" s="48">
        <f>N18*$F18</f>
        <v>0.03</v>
      </c>
      <c r="P18" s="174">
        <f t="shared" si="0"/>
        <v>0.03</v>
      </c>
      <c r="Q18" s="272" t="s">
        <v>180</v>
      </c>
      <c r="R18" s="43">
        <v>1</v>
      </c>
      <c r="S18" s="48">
        <f>R18*$F18</f>
        <v>0.03</v>
      </c>
      <c r="T18" s="43">
        <v>1</v>
      </c>
      <c r="U18" s="48">
        <f>T18*$F18</f>
        <v>0.03</v>
      </c>
      <c r="V18" s="247">
        <f>AVERAGE(S18,U18)</f>
        <v>0.03</v>
      </c>
      <c r="W18" s="238" t="s">
        <v>65</v>
      </c>
      <c r="X18" s="201">
        <v>1</v>
      </c>
      <c r="Y18" s="48">
        <f>X18*$F$18</f>
        <v>0.03</v>
      </c>
      <c r="Z18" s="43">
        <v>1</v>
      </c>
      <c r="AA18" s="48">
        <f>Z18*$F$18</f>
        <v>0.03</v>
      </c>
      <c r="AB18" s="165">
        <f>AVERAGE(Y18,AA18)</f>
        <v>0.03</v>
      </c>
      <c r="AC18" s="238" t="s">
        <v>66</v>
      </c>
      <c r="AD18" s="10" t="s">
        <v>38</v>
      </c>
    </row>
    <row r="19" spans="1:30" ht="119.25" customHeight="1" thickTop="1" thickBot="1" x14ac:dyDescent="0.35">
      <c r="A19" s="389"/>
      <c r="B19" s="389"/>
      <c r="C19" s="31" t="s">
        <v>67</v>
      </c>
      <c r="D19" s="17">
        <v>0.02</v>
      </c>
      <c r="E19" s="18" t="s">
        <v>68</v>
      </c>
      <c r="F19" s="17">
        <v>0.02</v>
      </c>
      <c r="G19" s="35" t="s">
        <v>69</v>
      </c>
      <c r="H19" s="4" t="s">
        <v>43</v>
      </c>
      <c r="I19" s="43">
        <v>0.12</v>
      </c>
      <c r="J19" s="48">
        <f>I19*$F$19</f>
        <v>2.3999999999999998E-3</v>
      </c>
      <c r="K19" s="47" t="s">
        <v>291</v>
      </c>
      <c r="L19" s="43">
        <v>0.15379999999999999</v>
      </c>
      <c r="M19" s="48">
        <f>L19*$F$19</f>
        <v>3.0759999999999997E-3</v>
      </c>
      <c r="N19" s="43">
        <v>0.15379999999999999</v>
      </c>
      <c r="O19" s="48">
        <f>N19*$F$19</f>
        <v>3.0759999999999997E-3</v>
      </c>
      <c r="P19" s="48">
        <f t="shared" si="0"/>
        <v>3.0759999999999997E-3</v>
      </c>
      <c r="Q19" s="189" t="s">
        <v>292</v>
      </c>
      <c r="R19" s="43">
        <v>4.5400000000000003E-2</v>
      </c>
      <c r="S19" s="48">
        <f>R19*$F$19</f>
        <v>9.0800000000000006E-4</v>
      </c>
      <c r="T19" s="43">
        <v>4.5400000000000003E-2</v>
      </c>
      <c r="U19" s="48">
        <f>T19*$F$19</f>
        <v>9.0800000000000006E-4</v>
      </c>
      <c r="V19" s="165">
        <f>AVERAGE(S19,U19)</f>
        <v>9.0800000000000006E-4</v>
      </c>
      <c r="W19" s="281" t="s">
        <v>293</v>
      </c>
      <c r="X19" s="201">
        <v>0.31809999999999999</v>
      </c>
      <c r="Y19" s="48">
        <f>F19*X19</f>
        <v>6.3619999999999996E-3</v>
      </c>
      <c r="Z19" s="43">
        <v>0.31809999999999999</v>
      </c>
      <c r="AA19" s="48">
        <f>Z19*$F$19</f>
        <v>6.3619999999999996E-3</v>
      </c>
      <c r="AB19" s="165">
        <f>AVERAGE(Y19,AA19)</f>
        <v>6.3619999999999996E-3</v>
      </c>
      <c r="AC19" s="284" t="s">
        <v>294</v>
      </c>
      <c r="AD19" s="18" t="s">
        <v>38</v>
      </c>
    </row>
    <row r="20" spans="1:30" ht="103.2" customHeight="1" thickTop="1" x14ac:dyDescent="0.3">
      <c r="A20" s="422" t="s">
        <v>74</v>
      </c>
      <c r="B20" s="414">
        <v>0.25</v>
      </c>
      <c r="C20" s="390" t="s">
        <v>75</v>
      </c>
      <c r="D20" s="416">
        <f>B20</f>
        <v>0.25</v>
      </c>
      <c r="E20" s="14" t="s">
        <v>76</v>
      </c>
      <c r="F20" s="16">
        <f>D20*0.8</f>
        <v>0.2</v>
      </c>
      <c r="G20" s="36" t="s">
        <v>77</v>
      </c>
      <c r="H20" s="13" t="s">
        <v>43</v>
      </c>
      <c r="I20" s="43">
        <v>0.33329999999999999</v>
      </c>
      <c r="J20" s="48">
        <f>I20*$F$20</f>
        <v>6.6659999999999997E-2</v>
      </c>
      <c r="K20" s="62" t="s">
        <v>295</v>
      </c>
      <c r="L20" s="43">
        <v>1</v>
      </c>
      <c r="M20" s="48">
        <f>L20*$F$20</f>
        <v>0.2</v>
      </c>
      <c r="N20" s="43">
        <v>1</v>
      </c>
      <c r="O20" s="177">
        <f>N20*$F$20</f>
        <v>0.2</v>
      </c>
      <c r="P20" s="186">
        <f t="shared" si="0"/>
        <v>0.2</v>
      </c>
      <c r="Q20" s="446" t="s">
        <v>296</v>
      </c>
      <c r="R20" s="420">
        <v>0.42849999999999999</v>
      </c>
      <c r="S20" s="364"/>
      <c r="T20" s="364"/>
      <c r="U20" s="365"/>
      <c r="V20" s="255">
        <f>R20*F20</f>
        <v>8.5699999999999998E-2</v>
      </c>
      <c r="W20" s="405" t="s">
        <v>297</v>
      </c>
      <c r="X20" s="423">
        <v>0.8</v>
      </c>
      <c r="Y20" s="364"/>
      <c r="Z20" s="364"/>
      <c r="AA20" s="365"/>
      <c r="AB20" s="165">
        <f>X20*F20</f>
        <v>0.16000000000000003</v>
      </c>
      <c r="AC20" s="405" t="s">
        <v>298</v>
      </c>
      <c r="AD20" s="14" t="s">
        <v>82</v>
      </c>
    </row>
    <row r="21" spans="1:30" ht="103.2" customHeight="1" thickBot="1" x14ac:dyDescent="0.35">
      <c r="A21" s="389"/>
      <c r="B21" s="389"/>
      <c r="C21" s="389"/>
      <c r="D21" s="389"/>
      <c r="E21" s="12" t="s">
        <v>83</v>
      </c>
      <c r="F21" s="15">
        <f>D20*0.2</f>
        <v>0.05</v>
      </c>
      <c r="G21" s="34" t="s">
        <v>84</v>
      </c>
      <c r="H21" s="11" t="s">
        <v>43</v>
      </c>
      <c r="I21" s="43">
        <v>0.75</v>
      </c>
      <c r="J21" s="48">
        <f>I21*$F$21</f>
        <v>3.7500000000000006E-2</v>
      </c>
      <c r="K21" s="62" t="s">
        <v>299</v>
      </c>
      <c r="L21" s="43">
        <v>0.66669999999999996</v>
      </c>
      <c r="M21" s="48">
        <f>L21*$F$21</f>
        <v>3.3334999999999997E-2</v>
      </c>
      <c r="N21" s="43">
        <v>0.5</v>
      </c>
      <c r="O21" s="177">
        <f>N21*$F$21</f>
        <v>2.5000000000000001E-2</v>
      </c>
      <c r="P21" s="186">
        <f t="shared" si="0"/>
        <v>2.9167499999999999E-2</v>
      </c>
      <c r="Q21" s="332"/>
      <c r="R21" s="420">
        <v>1</v>
      </c>
      <c r="S21" s="364"/>
      <c r="T21" s="364"/>
      <c r="U21" s="365"/>
      <c r="V21" s="255">
        <f>R21*F21</f>
        <v>0.05</v>
      </c>
      <c r="W21" s="404"/>
      <c r="X21" s="423">
        <v>1</v>
      </c>
      <c r="Y21" s="364"/>
      <c r="Z21" s="364"/>
      <c r="AA21" s="365"/>
      <c r="AB21" s="165">
        <f>X21*F21</f>
        <v>0.05</v>
      </c>
      <c r="AC21" s="404"/>
      <c r="AD21" s="12" t="s">
        <v>82</v>
      </c>
    </row>
    <row r="22" spans="1:30" ht="66" customHeight="1" thickTop="1" x14ac:dyDescent="0.3">
      <c r="A22" s="422" t="s">
        <v>86</v>
      </c>
      <c r="B22" s="414">
        <v>0.3</v>
      </c>
      <c r="C22" s="390" t="s">
        <v>87</v>
      </c>
      <c r="D22" s="416">
        <f>$B$22/2</f>
        <v>0.15</v>
      </c>
      <c r="E22" s="393" t="s">
        <v>88</v>
      </c>
      <c r="F22" s="416">
        <f>$B$22/2</f>
        <v>0.15</v>
      </c>
      <c r="G22" s="38" t="s">
        <v>89</v>
      </c>
      <c r="H22" s="13">
        <v>1</v>
      </c>
      <c r="I22" s="359">
        <v>1</v>
      </c>
      <c r="J22" s="368">
        <f>I22*$F$22</f>
        <v>0.15</v>
      </c>
      <c r="K22" s="412" t="s">
        <v>300</v>
      </c>
      <c r="L22" s="359">
        <v>1</v>
      </c>
      <c r="M22" s="346"/>
      <c r="N22" s="346"/>
      <c r="O22" s="396"/>
      <c r="P22" s="368">
        <f>L22*$F22</f>
        <v>0.15</v>
      </c>
      <c r="Q22" s="369" t="s">
        <v>91</v>
      </c>
      <c r="R22" s="359">
        <v>1</v>
      </c>
      <c r="S22" s="346"/>
      <c r="T22" s="346"/>
      <c r="U22" s="396"/>
      <c r="V22" s="386">
        <f>R22*$F22</f>
        <v>0.15</v>
      </c>
      <c r="W22" s="399" t="s">
        <v>92</v>
      </c>
      <c r="X22" s="423">
        <v>1</v>
      </c>
      <c r="Y22" s="346"/>
      <c r="Z22" s="346"/>
      <c r="AA22" s="396"/>
      <c r="AB22" s="386">
        <f>X22*$F22</f>
        <v>0.15</v>
      </c>
      <c r="AC22" s="399" t="s">
        <v>92</v>
      </c>
      <c r="AD22" s="393" t="s">
        <v>93</v>
      </c>
    </row>
    <row r="23" spans="1:30" ht="66" customHeight="1" thickBot="1" x14ac:dyDescent="0.35">
      <c r="A23" s="388"/>
      <c r="B23" s="341"/>
      <c r="C23" s="389"/>
      <c r="D23" s="389"/>
      <c r="E23" s="389"/>
      <c r="F23" s="389"/>
      <c r="G23" s="39" t="s">
        <v>94</v>
      </c>
      <c r="H23" s="11">
        <v>0</v>
      </c>
      <c r="I23" s="332"/>
      <c r="J23" s="332"/>
      <c r="K23" s="332"/>
      <c r="L23" s="334"/>
      <c r="M23" s="353"/>
      <c r="N23" s="353"/>
      <c r="O23" s="354"/>
      <c r="P23" s="332"/>
      <c r="Q23" s="332"/>
      <c r="R23" s="334"/>
      <c r="S23" s="353"/>
      <c r="T23" s="353"/>
      <c r="U23" s="354"/>
      <c r="V23" s="334"/>
      <c r="W23" s="362"/>
      <c r="X23" s="353"/>
      <c r="Y23" s="353"/>
      <c r="Z23" s="353"/>
      <c r="AA23" s="354"/>
      <c r="AB23" s="334"/>
      <c r="AC23" s="362"/>
      <c r="AD23" s="389"/>
    </row>
    <row r="24" spans="1:30" ht="82.2" customHeight="1" thickTop="1" thickBot="1" x14ac:dyDescent="0.35">
      <c r="A24" s="389"/>
      <c r="B24" s="389"/>
      <c r="C24" s="37" t="s">
        <v>95</v>
      </c>
      <c r="D24" s="8">
        <v>0.15</v>
      </c>
      <c r="E24" s="9" t="s">
        <v>96</v>
      </c>
      <c r="F24" s="8">
        <v>0.15</v>
      </c>
      <c r="G24" s="32" t="s">
        <v>97</v>
      </c>
      <c r="H24" s="8">
        <v>1</v>
      </c>
      <c r="I24" s="43">
        <v>0.4677</v>
      </c>
      <c r="J24" s="48">
        <f>I24*$F$24</f>
        <v>7.0154999999999995E-2</v>
      </c>
      <c r="K24" s="47" t="s">
        <v>301</v>
      </c>
      <c r="L24" s="359">
        <v>0.61680000000000001</v>
      </c>
      <c r="M24" s="364"/>
      <c r="N24" s="364"/>
      <c r="O24" s="365"/>
      <c r="P24" s="48">
        <f>L24*$F24</f>
        <v>9.2520000000000005E-2</v>
      </c>
      <c r="Q24" s="78" t="s">
        <v>302</v>
      </c>
      <c r="R24" s="359">
        <v>0.67600000000000005</v>
      </c>
      <c r="S24" s="364"/>
      <c r="T24" s="364"/>
      <c r="U24" s="365"/>
      <c r="V24" s="165">
        <f>R24*$F24</f>
        <v>0.1014</v>
      </c>
      <c r="W24" s="242" t="s">
        <v>303</v>
      </c>
      <c r="X24" s="423">
        <v>0.91320000000000001</v>
      </c>
      <c r="Y24" s="364"/>
      <c r="Z24" s="364"/>
      <c r="AA24" s="365"/>
      <c r="AB24" s="165">
        <f>X24*$F24</f>
        <v>0.13697999999999999</v>
      </c>
      <c r="AC24" s="237" t="s">
        <v>304</v>
      </c>
      <c r="AD24" s="10" t="s">
        <v>93</v>
      </c>
    </row>
    <row r="25" spans="1:30" ht="26.7" customHeight="1" thickTop="1" x14ac:dyDescent="0.3">
      <c r="I25" s="7" t="s">
        <v>102</v>
      </c>
      <c r="J25" s="6">
        <f>SUM(J2:J24)</f>
        <v>0.63388166666666668</v>
      </c>
      <c r="O25" s="7" t="s">
        <v>102</v>
      </c>
      <c r="P25" s="6">
        <f>SUM(P2:P24)</f>
        <v>0.86676183333333334</v>
      </c>
      <c r="U25" s="7" t="s">
        <v>102</v>
      </c>
      <c r="V25" s="6">
        <f>SUM(V2:V24)</f>
        <v>0.77063383333333335</v>
      </c>
      <c r="W25" s="166"/>
      <c r="AA25" s="7" t="s">
        <v>102</v>
      </c>
      <c r="AB25" s="6">
        <f>SUM(AB2:AB24)</f>
        <v>0.87633616666666669</v>
      </c>
    </row>
    <row r="26" spans="1:30" ht="26.7" customHeight="1" x14ac:dyDescent="0.4"/>
  </sheetData>
  <mergeCells count="117">
    <mergeCell ref="B22:B24"/>
    <mergeCell ref="B2:B13"/>
    <mergeCell ref="U2:U4"/>
    <mergeCell ref="L22:O23"/>
    <mergeCell ref="C2:C5"/>
    <mergeCell ref="X21:AA21"/>
    <mergeCell ref="R2:R4"/>
    <mergeCell ref="O6:O8"/>
    <mergeCell ref="U6:U8"/>
    <mergeCell ref="X16:AA16"/>
    <mergeCell ref="J10:J12"/>
    <mergeCell ref="B20:B21"/>
    <mergeCell ref="L24:O24"/>
    <mergeCell ref="R24:U24"/>
    <mergeCell ref="X24:AA24"/>
    <mergeCell ref="T6:T8"/>
    <mergeCell ref="P22:P23"/>
    <mergeCell ref="Q6:Q8"/>
    <mergeCell ref="T2:T4"/>
    <mergeCell ref="Z10:Z12"/>
    <mergeCell ref="N6:N8"/>
    <mergeCell ref="A20:A21"/>
    <mergeCell ref="J22:J23"/>
    <mergeCell ref="X22:AA23"/>
    <mergeCell ref="P6:P8"/>
    <mergeCell ref="S2:S4"/>
    <mergeCell ref="AA10:AA12"/>
    <mergeCell ref="V22:V23"/>
    <mergeCell ref="M6:M8"/>
    <mergeCell ref="R21:U21"/>
    <mergeCell ref="V6:V8"/>
    <mergeCell ref="Y2:Y4"/>
    <mergeCell ref="A14:A19"/>
    <mergeCell ref="X20:AA20"/>
    <mergeCell ref="Y6:Y8"/>
    <mergeCell ref="C20:C21"/>
    <mergeCell ref="W2:W4"/>
    <mergeCell ref="O2:O4"/>
    <mergeCell ref="Q20:Q21"/>
    <mergeCell ref="Q2:Q4"/>
    <mergeCell ref="A22:A24"/>
    <mergeCell ref="C22:C23"/>
    <mergeCell ref="I6:I8"/>
    <mergeCell ref="K6:K8"/>
    <mergeCell ref="Q22:Q23"/>
    <mergeCell ref="I2:I4"/>
    <mergeCell ref="R22:U23"/>
    <mergeCell ref="R16:U16"/>
    <mergeCell ref="AA6:AA8"/>
    <mergeCell ref="J6:J8"/>
    <mergeCell ref="M10:M12"/>
    <mergeCell ref="AD22:AD23"/>
    <mergeCell ref="X6:X8"/>
    <mergeCell ref="E10:E12"/>
    <mergeCell ref="Y10:Y12"/>
    <mergeCell ref="Q10:Q12"/>
    <mergeCell ref="S10:S12"/>
    <mergeCell ref="I10:I12"/>
    <mergeCell ref="V2:V4"/>
    <mergeCell ref="X2:X4"/>
    <mergeCell ref="U10:U12"/>
    <mergeCell ref="W10:W12"/>
    <mergeCell ref="AB22:AB23"/>
    <mergeCell ref="AC6:AC8"/>
    <mergeCell ref="AB10:AB12"/>
    <mergeCell ref="AB6:AB8"/>
    <mergeCell ref="AC10:AC12"/>
    <mergeCell ref="AC20:AC21"/>
    <mergeCell ref="AC22:AC23"/>
    <mergeCell ref="AD10:AD12"/>
    <mergeCell ref="R6:R8"/>
    <mergeCell ref="D20:D21"/>
    <mergeCell ref="T10:T12"/>
    <mergeCell ref="V10:V12"/>
    <mergeCell ref="AD6:AD8"/>
    <mergeCell ref="F2:F4"/>
    <mergeCell ref="R20:U20"/>
    <mergeCell ref="Z2:Z4"/>
    <mergeCell ref="AB2:AB4"/>
    <mergeCell ref="E2:E4"/>
    <mergeCell ref="AA2:AA4"/>
    <mergeCell ref="Z6:Z8"/>
    <mergeCell ref="AC2:AC4"/>
    <mergeCell ref="AD2:AD4"/>
    <mergeCell ref="D10:D13"/>
    <mergeCell ref="S6:S8"/>
    <mergeCell ref="L10:L12"/>
    <mergeCell ref="N10:N12"/>
    <mergeCell ref="X10:X12"/>
    <mergeCell ref="D2:D5"/>
    <mergeCell ref="K10:K12"/>
    <mergeCell ref="J2:J4"/>
    <mergeCell ref="L2:L4"/>
    <mergeCell ref="A2:A13"/>
    <mergeCell ref="K2:K4"/>
    <mergeCell ref="D6:D9"/>
    <mergeCell ref="W20:W21"/>
    <mergeCell ref="C10:C13"/>
    <mergeCell ref="I22:I23"/>
    <mergeCell ref="K22:K23"/>
    <mergeCell ref="L6:L8"/>
    <mergeCell ref="F10:F12"/>
    <mergeCell ref="W22:W23"/>
    <mergeCell ref="O10:O12"/>
    <mergeCell ref="B14:B19"/>
    <mergeCell ref="W6:W8"/>
    <mergeCell ref="P10:P12"/>
    <mergeCell ref="M2:M4"/>
    <mergeCell ref="R10:R12"/>
    <mergeCell ref="P2:P4"/>
    <mergeCell ref="E6:E8"/>
    <mergeCell ref="E22:E23"/>
    <mergeCell ref="N2:N4"/>
    <mergeCell ref="C6:C9"/>
    <mergeCell ref="D22:D23"/>
    <mergeCell ref="F22:F23"/>
    <mergeCell ref="F6:F8"/>
  </mergeCells>
  <printOptions horizontalCentered="1"/>
  <pageMargins left="0.23622047244094491" right="0.23622047244094491" top="0.74803149606299213" bottom="0.74803149606299213" header="0.31496062992125978" footer="0.31496062992125978"/>
  <pageSetup paperSize="8" scale="45" fitToWidth="0" fitToHeight="0"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18">
    <tabColor theme="7" tint="0.39997558519241921"/>
  </sheetPr>
  <dimension ref="A1:AD20"/>
  <sheetViews>
    <sheetView topLeftCell="A11" zoomScale="50" zoomScaleNormal="50" zoomScaleSheetLayoutView="90" workbookViewId="0">
      <selection activeCell="A17" sqref="A17:A19"/>
    </sheetView>
  </sheetViews>
  <sheetFormatPr baseColWidth="10" defaultColWidth="11.44140625" defaultRowHeight="21" x14ac:dyDescent="0.4"/>
  <cols>
    <col min="1" max="1" width="20.6640625" style="5" customWidth="1"/>
    <col min="2" max="2" width="9.109375" customWidth="1"/>
    <col min="3" max="3" width="19.6640625" style="4" customWidth="1"/>
    <col min="4" max="4" width="10.88671875" customWidth="1"/>
    <col min="5" max="5" width="40.6640625" style="3" customWidth="1"/>
    <col min="6" max="6" width="8" customWidth="1"/>
    <col min="7" max="7" width="60" customWidth="1"/>
    <col min="8" max="8" width="10.109375" customWidth="1"/>
    <col min="9" max="9" width="25.6640625" style="2" customWidth="1"/>
    <col min="10" max="10" width="25.6640625" style="1" customWidth="1"/>
    <col min="11" max="11" width="70.6640625" customWidth="1"/>
    <col min="12" max="16" width="17" customWidth="1"/>
    <col min="17" max="17" width="59.88671875" style="170" customWidth="1"/>
    <col min="18" max="22" width="20.88671875" customWidth="1"/>
    <col min="23" max="23" width="105.33203125" customWidth="1"/>
    <col min="24" max="28" width="20.33203125" customWidth="1"/>
    <col min="29" max="29" width="94.6640625" customWidth="1"/>
    <col min="30" max="30" width="37.44140625" customWidth="1"/>
  </cols>
  <sheetData>
    <row r="1" spans="1:30" s="28" customFormat="1" ht="51.45" customHeight="1" thickTop="1" thickBot="1" x14ac:dyDescent="0.35">
      <c r="A1" s="153" t="s">
        <v>0</v>
      </c>
      <c r="B1" s="153" t="s">
        <v>1</v>
      </c>
      <c r="C1" s="153" t="s">
        <v>2</v>
      </c>
      <c r="D1" s="153" t="s">
        <v>3</v>
      </c>
      <c r="E1" s="153" t="s">
        <v>4</v>
      </c>
      <c r="F1" s="153" t="s">
        <v>5</v>
      </c>
      <c r="G1" s="153" t="s">
        <v>6</v>
      </c>
      <c r="H1" s="153" t="s">
        <v>7</v>
      </c>
      <c r="I1" s="153" t="s">
        <v>8</v>
      </c>
      <c r="J1" s="153" t="s">
        <v>9</v>
      </c>
      <c r="K1" s="160" t="s">
        <v>10</v>
      </c>
      <c r="L1" s="153" t="s">
        <v>11</v>
      </c>
      <c r="M1" s="153" t="s">
        <v>12</v>
      </c>
      <c r="N1" s="153" t="s">
        <v>13</v>
      </c>
      <c r="O1" s="153" t="s">
        <v>14</v>
      </c>
      <c r="P1" s="153" t="s">
        <v>15</v>
      </c>
      <c r="Q1" s="160" t="s">
        <v>16</v>
      </c>
      <c r="R1" s="153" t="s">
        <v>17</v>
      </c>
      <c r="S1" s="153" t="s">
        <v>18</v>
      </c>
      <c r="T1" s="153" t="s">
        <v>19</v>
      </c>
      <c r="U1" s="153" t="s">
        <v>20</v>
      </c>
      <c r="V1" s="153" t="s">
        <v>21</v>
      </c>
      <c r="W1" s="160" t="s">
        <v>22</v>
      </c>
      <c r="X1" s="153" t="s">
        <v>23</v>
      </c>
      <c r="Y1" s="153" t="s">
        <v>24</v>
      </c>
      <c r="Z1" s="153" t="s">
        <v>25</v>
      </c>
      <c r="AA1" s="153" t="s">
        <v>26</v>
      </c>
      <c r="AB1" s="153" t="s">
        <v>27</v>
      </c>
      <c r="AC1" s="160" t="s">
        <v>28</v>
      </c>
      <c r="AD1" s="28" t="s">
        <v>29</v>
      </c>
    </row>
    <row r="2" spans="1:30" ht="18" customHeight="1" thickTop="1" thickBot="1" x14ac:dyDescent="0.35">
      <c r="A2" s="451" t="s">
        <v>30</v>
      </c>
      <c r="B2" s="428">
        <v>0.2</v>
      </c>
      <c r="C2" s="391" t="s">
        <v>200</v>
      </c>
      <c r="D2" s="409">
        <f>B2/2</f>
        <v>0.1</v>
      </c>
      <c r="E2" s="393" t="s">
        <v>32</v>
      </c>
      <c r="F2" s="413">
        <f>B2/4</f>
        <v>0.05</v>
      </c>
      <c r="G2" s="40" t="s">
        <v>33</v>
      </c>
      <c r="H2" s="27">
        <v>1</v>
      </c>
      <c r="I2" s="359">
        <v>1</v>
      </c>
      <c r="J2" s="368">
        <f>I2*$F$2</f>
        <v>0.05</v>
      </c>
      <c r="K2" s="448" t="s">
        <v>305</v>
      </c>
      <c r="L2" s="359">
        <v>1</v>
      </c>
      <c r="M2" s="368">
        <f>L2*$F$2</f>
        <v>0.05</v>
      </c>
      <c r="N2" s="359">
        <v>1</v>
      </c>
      <c r="O2" s="368">
        <f>N2*$F$2</f>
        <v>0.05</v>
      </c>
      <c r="P2" s="368">
        <f>AVERAGE(M2,O2)</f>
        <v>0.05</v>
      </c>
      <c r="Q2" s="369" t="s">
        <v>305</v>
      </c>
      <c r="R2" s="359">
        <v>1</v>
      </c>
      <c r="S2" s="368">
        <f>R2*$F$2</f>
        <v>0.05</v>
      </c>
      <c r="T2" s="359">
        <v>1</v>
      </c>
      <c r="U2" s="368">
        <f>T2*$F$2</f>
        <v>0.05</v>
      </c>
      <c r="V2" s="452">
        <f>AVERAGE(S2,U2)</f>
        <v>0.05</v>
      </c>
      <c r="W2" s="457" t="s">
        <v>306</v>
      </c>
      <c r="X2" s="351">
        <v>0.94799999999999995</v>
      </c>
      <c r="Y2" s="358">
        <f>X2*$F$2</f>
        <v>4.7399999999999998E-2</v>
      </c>
      <c r="Z2" s="349">
        <v>0.90200000000000002</v>
      </c>
      <c r="AA2" s="358">
        <f>Z2*$F$2</f>
        <v>4.5100000000000001E-2</v>
      </c>
      <c r="AB2" s="350">
        <f>AVERAGE(Y2,AA2)</f>
        <v>4.6249999999999999E-2</v>
      </c>
      <c r="AC2" s="457" t="s">
        <v>306</v>
      </c>
      <c r="AD2" s="393" t="s">
        <v>38</v>
      </c>
    </row>
    <row r="3" spans="1:30" ht="18" customHeight="1" thickTop="1" thickBot="1" x14ac:dyDescent="0.35">
      <c r="A3" s="388"/>
      <c r="B3" s="341"/>
      <c r="C3" s="392"/>
      <c r="D3" s="341"/>
      <c r="E3" s="397"/>
      <c r="F3" s="341"/>
      <c r="G3" s="40" t="s">
        <v>39</v>
      </c>
      <c r="H3" s="26">
        <v>0.8</v>
      </c>
      <c r="I3" s="336"/>
      <c r="J3" s="336"/>
      <c r="K3" s="336"/>
      <c r="L3" s="336"/>
      <c r="M3" s="336"/>
      <c r="N3" s="336"/>
      <c r="O3" s="336"/>
      <c r="P3" s="336"/>
      <c r="Q3" s="336"/>
      <c r="R3" s="336"/>
      <c r="S3" s="336"/>
      <c r="T3" s="336"/>
      <c r="U3" s="336"/>
      <c r="V3" s="347"/>
      <c r="W3" s="361"/>
      <c r="X3" s="352"/>
      <c r="Y3" s="336"/>
      <c r="Z3" s="336"/>
      <c r="AA3" s="336"/>
      <c r="AB3" s="347"/>
      <c r="AC3" s="361"/>
      <c r="AD3" s="341"/>
    </row>
    <row r="4" spans="1:30" ht="170.25" customHeight="1" thickTop="1" thickBot="1" x14ac:dyDescent="0.35">
      <c r="A4" s="388"/>
      <c r="B4" s="341"/>
      <c r="C4" s="392"/>
      <c r="D4" s="341"/>
      <c r="E4" s="389"/>
      <c r="F4" s="389"/>
      <c r="G4" s="40" t="s">
        <v>40</v>
      </c>
      <c r="H4" s="25">
        <v>0</v>
      </c>
      <c r="I4" s="332"/>
      <c r="J4" s="332"/>
      <c r="K4" s="332"/>
      <c r="L4" s="332"/>
      <c r="M4" s="332"/>
      <c r="N4" s="332"/>
      <c r="O4" s="332"/>
      <c r="P4" s="332"/>
      <c r="Q4" s="332"/>
      <c r="R4" s="332"/>
      <c r="S4" s="332"/>
      <c r="T4" s="332"/>
      <c r="U4" s="332"/>
      <c r="V4" s="334"/>
      <c r="W4" s="362"/>
      <c r="X4" s="354"/>
      <c r="Y4" s="332"/>
      <c r="Z4" s="332"/>
      <c r="AA4" s="332"/>
      <c r="AB4" s="334"/>
      <c r="AC4" s="362"/>
      <c r="AD4" s="389"/>
    </row>
    <row r="5" spans="1:30" ht="135" customHeight="1" thickTop="1" thickBot="1" x14ac:dyDescent="0.35">
      <c r="A5" s="388"/>
      <c r="B5" s="341"/>
      <c r="C5" s="389"/>
      <c r="D5" s="389"/>
      <c r="E5" s="12" t="s">
        <v>41</v>
      </c>
      <c r="F5" s="24">
        <f>B2/4</f>
        <v>0.05</v>
      </c>
      <c r="G5" s="40" t="s">
        <v>42</v>
      </c>
      <c r="H5" s="23" t="s">
        <v>43</v>
      </c>
      <c r="I5" s="43">
        <v>1</v>
      </c>
      <c r="J5" s="48">
        <f>I5*$F$5</f>
        <v>0.05</v>
      </c>
      <c r="K5" s="47" t="s">
        <v>305</v>
      </c>
      <c r="L5" s="43">
        <v>1</v>
      </c>
      <c r="M5" s="48">
        <f>L5*$F$5</f>
        <v>0.05</v>
      </c>
      <c r="N5" s="43">
        <v>1</v>
      </c>
      <c r="O5" s="48">
        <f>N5*$F$5</f>
        <v>0.05</v>
      </c>
      <c r="P5" s="48">
        <f>AVERAGE(M5,O5)</f>
        <v>0.05</v>
      </c>
      <c r="Q5" s="78" t="s">
        <v>305</v>
      </c>
      <c r="R5" s="43">
        <v>1</v>
      </c>
      <c r="S5" s="48">
        <f>R5*$F$5</f>
        <v>0.05</v>
      </c>
      <c r="T5" s="43">
        <v>1</v>
      </c>
      <c r="U5" s="48">
        <f>T5*$F$5</f>
        <v>0.05</v>
      </c>
      <c r="V5" s="328">
        <f>AVERAGE(S5,U5)</f>
        <v>0.05</v>
      </c>
      <c r="W5" s="227" t="s">
        <v>307</v>
      </c>
      <c r="X5" s="201">
        <v>1</v>
      </c>
      <c r="Y5" s="48">
        <f>X5*$F$5</f>
        <v>0.05</v>
      </c>
      <c r="Z5" s="43">
        <v>1</v>
      </c>
      <c r="AA5" s="48">
        <f>Z5*$F$5</f>
        <v>0.05</v>
      </c>
      <c r="AB5" s="165">
        <f>AVERAGE(Y5,AA5)</f>
        <v>0.05</v>
      </c>
      <c r="AC5" s="227" t="s">
        <v>307</v>
      </c>
      <c r="AD5" s="12" t="s">
        <v>38</v>
      </c>
    </row>
    <row r="6" spans="1:30" ht="18.600000000000001" customHeight="1" thickTop="1" thickBot="1" x14ac:dyDescent="0.35">
      <c r="A6" s="388"/>
      <c r="B6" s="341"/>
      <c r="C6" s="391" t="s">
        <v>46</v>
      </c>
      <c r="D6" s="409">
        <f>B2/2</f>
        <v>0.1</v>
      </c>
      <c r="E6" s="393" t="s">
        <v>32</v>
      </c>
      <c r="F6" s="413">
        <f>B2/4</f>
        <v>0.05</v>
      </c>
      <c r="G6" s="40" t="s">
        <v>33</v>
      </c>
      <c r="H6" s="27">
        <v>1</v>
      </c>
      <c r="I6" s="359">
        <v>1</v>
      </c>
      <c r="J6" s="368">
        <f>I6*$F$6</f>
        <v>0.05</v>
      </c>
      <c r="K6" s="412" t="s">
        <v>245</v>
      </c>
      <c r="L6" s="359">
        <v>1</v>
      </c>
      <c r="M6" s="368">
        <f>L6*$F$6</f>
        <v>0.05</v>
      </c>
      <c r="N6" s="359">
        <v>1</v>
      </c>
      <c r="O6" s="368">
        <f>N6*$F$6</f>
        <v>0.05</v>
      </c>
      <c r="P6" s="368">
        <f>AVERAGE(M6,O6)</f>
        <v>0.05</v>
      </c>
      <c r="Q6" s="459" t="s">
        <v>168</v>
      </c>
      <c r="R6" s="359">
        <v>1</v>
      </c>
      <c r="S6" s="368">
        <f>R6*$F$6</f>
        <v>0.05</v>
      </c>
      <c r="T6" s="359">
        <v>1</v>
      </c>
      <c r="U6" s="368">
        <f>T6*$F$6</f>
        <v>0.05</v>
      </c>
      <c r="V6" s="452">
        <f>AVERAGE(S6,U6)</f>
        <v>0.05</v>
      </c>
      <c r="W6" s="432" t="s">
        <v>168</v>
      </c>
      <c r="X6" s="366">
        <v>1</v>
      </c>
      <c r="Y6" s="368">
        <f>X6*$F$6</f>
        <v>0.05</v>
      </c>
      <c r="Z6" s="359">
        <v>1</v>
      </c>
      <c r="AA6" s="368">
        <f>Z6*$F$6</f>
        <v>0.05</v>
      </c>
      <c r="AB6" s="386">
        <f>AVERAGE(Y6,AA6)</f>
        <v>0.05</v>
      </c>
      <c r="AC6" s="432" t="s">
        <v>168</v>
      </c>
      <c r="AD6" s="393" t="s">
        <v>38</v>
      </c>
    </row>
    <row r="7" spans="1:30" ht="18.600000000000001" customHeight="1" thickTop="1" thickBot="1" x14ac:dyDescent="0.35">
      <c r="A7" s="388"/>
      <c r="B7" s="341"/>
      <c r="C7" s="392"/>
      <c r="D7" s="341"/>
      <c r="E7" s="397"/>
      <c r="F7" s="341"/>
      <c r="G7" s="40" t="s">
        <v>39</v>
      </c>
      <c r="H7" s="26">
        <v>0.8</v>
      </c>
      <c r="I7" s="336"/>
      <c r="J7" s="336"/>
      <c r="K7" s="336"/>
      <c r="L7" s="336"/>
      <c r="M7" s="336"/>
      <c r="N7" s="336"/>
      <c r="O7" s="336"/>
      <c r="P7" s="336"/>
      <c r="Q7" s="336"/>
      <c r="R7" s="336"/>
      <c r="S7" s="336"/>
      <c r="T7" s="336"/>
      <c r="U7" s="336"/>
      <c r="V7" s="347"/>
      <c r="W7" s="361"/>
      <c r="X7" s="352"/>
      <c r="Y7" s="336"/>
      <c r="Z7" s="336"/>
      <c r="AA7" s="336"/>
      <c r="AB7" s="347"/>
      <c r="AC7" s="361"/>
      <c r="AD7" s="341"/>
    </row>
    <row r="8" spans="1:30" ht="62.4" customHeight="1" thickTop="1" thickBot="1" x14ac:dyDescent="0.35">
      <c r="A8" s="388"/>
      <c r="B8" s="341"/>
      <c r="C8" s="392"/>
      <c r="D8" s="341"/>
      <c r="E8" s="389"/>
      <c r="F8" s="389"/>
      <c r="G8" s="40" t="s">
        <v>40</v>
      </c>
      <c r="H8" s="25">
        <v>0.5</v>
      </c>
      <c r="I8" s="332"/>
      <c r="J8" s="332"/>
      <c r="K8" s="332"/>
      <c r="L8" s="332"/>
      <c r="M8" s="332"/>
      <c r="N8" s="332"/>
      <c r="O8" s="332"/>
      <c r="P8" s="332"/>
      <c r="Q8" s="332"/>
      <c r="R8" s="332"/>
      <c r="S8" s="332"/>
      <c r="T8" s="332"/>
      <c r="U8" s="332"/>
      <c r="V8" s="334"/>
      <c r="W8" s="362"/>
      <c r="X8" s="354"/>
      <c r="Y8" s="332"/>
      <c r="Z8" s="332"/>
      <c r="AA8" s="332"/>
      <c r="AB8" s="334"/>
      <c r="AC8" s="362"/>
      <c r="AD8" s="389"/>
    </row>
    <row r="9" spans="1:30" ht="100.5" customHeight="1" thickTop="1" thickBot="1" x14ac:dyDescent="0.35">
      <c r="A9" s="389"/>
      <c r="B9" s="389"/>
      <c r="C9" s="389"/>
      <c r="D9" s="389"/>
      <c r="E9" s="12" t="s">
        <v>41</v>
      </c>
      <c r="F9" s="24">
        <f>B2/4</f>
        <v>0.05</v>
      </c>
      <c r="G9" s="40" t="s">
        <v>42</v>
      </c>
      <c r="H9" s="23" t="s">
        <v>43</v>
      </c>
      <c r="I9" s="43">
        <v>1</v>
      </c>
      <c r="J9" s="48">
        <f>I9*$F$9</f>
        <v>0.05</v>
      </c>
      <c r="K9" s="47" t="s">
        <v>308</v>
      </c>
      <c r="L9" s="43">
        <v>1</v>
      </c>
      <c r="M9" s="48">
        <f>L9*$F$9</f>
        <v>0.05</v>
      </c>
      <c r="N9" s="43">
        <v>1</v>
      </c>
      <c r="O9" s="48">
        <f>N9*$F$9</f>
        <v>0.05</v>
      </c>
      <c r="P9" s="48">
        <f t="shared" ref="P9:P16" si="0">AVERAGE(M9,O9)</f>
        <v>0.05</v>
      </c>
      <c r="Q9" s="181" t="s">
        <v>170</v>
      </c>
      <c r="R9" s="43">
        <v>1</v>
      </c>
      <c r="S9" s="48">
        <f>R9*$F$9</f>
        <v>0.05</v>
      </c>
      <c r="T9" s="43">
        <v>1</v>
      </c>
      <c r="U9" s="48">
        <f>T9*$F$9</f>
        <v>0.05</v>
      </c>
      <c r="V9" s="328">
        <f>AVERAGE(S9,U9)</f>
        <v>0.05</v>
      </c>
      <c r="W9" s="258" t="s">
        <v>170</v>
      </c>
      <c r="X9" s="201">
        <v>0.85</v>
      </c>
      <c r="Y9" s="48">
        <f>X9*$F$9</f>
        <v>4.2500000000000003E-2</v>
      </c>
      <c r="Z9" s="43">
        <v>0.85</v>
      </c>
      <c r="AA9" s="48">
        <f>Z9*$F$9</f>
        <v>4.2500000000000003E-2</v>
      </c>
      <c r="AB9" s="165">
        <f>AVERAGE(Y9,AA9)</f>
        <v>4.2500000000000003E-2</v>
      </c>
      <c r="AC9" s="258" t="s">
        <v>309</v>
      </c>
      <c r="AD9" s="12" t="s">
        <v>38</v>
      </c>
    </row>
    <row r="10" spans="1:30" ht="145.5" customHeight="1" thickTop="1" thickBot="1" x14ac:dyDescent="0.35">
      <c r="A10" s="451" t="s">
        <v>55</v>
      </c>
      <c r="B10" s="428">
        <v>0.25</v>
      </c>
      <c r="C10" s="30" t="s">
        <v>200</v>
      </c>
      <c r="D10" s="20">
        <f>20%/3</f>
        <v>6.6666666666666666E-2</v>
      </c>
      <c r="E10" s="10" t="s">
        <v>213</v>
      </c>
      <c r="F10" s="20">
        <f>20%/3</f>
        <v>6.6666666666666666E-2</v>
      </c>
      <c r="G10" s="33" t="s">
        <v>214</v>
      </c>
      <c r="H10" s="19" t="s">
        <v>43</v>
      </c>
      <c r="I10" s="43">
        <v>0.42</v>
      </c>
      <c r="J10" s="48">
        <f>I10*$F$10</f>
        <v>2.7999999999999997E-2</v>
      </c>
      <c r="K10" s="45" t="s">
        <v>310</v>
      </c>
      <c r="L10" s="43">
        <v>0.64</v>
      </c>
      <c r="M10" s="48">
        <f>L10*$F$10</f>
        <v>4.2666666666666665E-2</v>
      </c>
      <c r="N10" s="43">
        <v>0.97499999999999998</v>
      </c>
      <c r="O10" s="48">
        <f>N10*$F$10</f>
        <v>6.5000000000000002E-2</v>
      </c>
      <c r="P10" s="48">
        <f t="shared" si="0"/>
        <v>5.383333333333333E-2</v>
      </c>
      <c r="Q10" s="71" t="s">
        <v>311</v>
      </c>
      <c r="R10" s="43">
        <v>0.97199999999999998</v>
      </c>
      <c r="S10" s="48">
        <f>R10*$F$10</f>
        <v>6.4799999999999996E-2</v>
      </c>
      <c r="T10" s="43">
        <v>0.97099999999999997</v>
      </c>
      <c r="U10" s="48">
        <f>T10*$F$10</f>
        <v>6.4733333333333337E-2</v>
      </c>
      <c r="V10" s="328">
        <f>AVERAGE(S10,U10)</f>
        <v>6.4766666666666667E-2</v>
      </c>
      <c r="W10" s="248" t="s">
        <v>312</v>
      </c>
      <c r="X10" s="201">
        <v>0.97399999999999998</v>
      </c>
      <c r="Y10" s="48">
        <f>X10*$F$10</f>
        <v>6.4933333333333329E-2</v>
      </c>
      <c r="Z10" s="43">
        <v>0.95099999999999996</v>
      </c>
      <c r="AA10" s="48">
        <f>Z10*$F$10</f>
        <v>6.3399999999999998E-2</v>
      </c>
      <c r="AB10" s="165">
        <f>AVERAGE(Y10,AA10)</f>
        <v>6.4166666666666664E-2</v>
      </c>
      <c r="AC10" s="243" t="s">
        <v>312</v>
      </c>
      <c r="AD10" s="10" t="s">
        <v>38</v>
      </c>
    </row>
    <row r="11" spans="1:30" ht="70.2" customHeight="1" thickTop="1" thickBot="1" x14ac:dyDescent="0.35">
      <c r="A11" s="388"/>
      <c r="B11" s="341"/>
      <c r="C11" s="30" t="s">
        <v>135</v>
      </c>
      <c r="D11" s="20">
        <f>20%/3</f>
        <v>6.6666666666666666E-2</v>
      </c>
      <c r="E11" s="10" t="s">
        <v>136</v>
      </c>
      <c r="F11" s="20">
        <f>20%/3</f>
        <v>6.6666666666666666E-2</v>
      </c>
      <c r="G11" s="32" t="s">
        <v>137</v>
      </c>
      <c r="H11" s="19" t="s">
        <v>43</v>
      </c>
      <c r="I11" s="43">
        <v>0.59</v>
      </c>
      <c r="J11" s="48">
        <f>I11*$F$11</f>
        <v>3.9333333333333331E-2</v>
      </c>
      <c r="K11" s="45" t="s">
        <v>174</v>
      </c>
      <c r="L11" s="43">
        <v>0.93</v>
      </c>
      <c r="M11" s="48">
        <f>L11*$F$11</f>
        <v>6.2E-2</v>
      </c>
      <c r="N11" s="43">
        <v>0.93</v>
      </c>
      <c r="O11" s="48">
        <f>N11*$F$11</f>
        <v>6.2E-2</v>
      </c>
      <c r="P11" s="48">
        <f t="shared" si="0"/>
        <v>6.2E-2</v>
      </c>
      <c r="Q11" s="78" t="s">
        <v>175</v>
      </c>
      <c r="R11" s="420">
        <v>0.93</v>
      </c>
      <c r="S11" s="364"/>
      <c r="T11" s="364"/>
      <c r="U11" s="365"/>
      <c r="V11" s="328">
        <f>R11*D11</f>
        <v>6.2E-2</v>
      </c>
      <c r="W11" s="241" t="s">
        <v>219</v>
      </c>
      <c r="X11" s="366">
        <v>0.95</v>
      </c>
      <c r="Y11" s="364"/>
      <c r="Z11" s="364"/>
      <c r="AA11" s="365"/>
      <c r="AB11" s="165">
        <f>X11*D11</f>
        <v>6.3333333333333325E-2</v>
      </c>
      <c r="AC11" s="241" t="s">
        <v>219</v>
      </c>
      <c r="AD11" s="10" t="s">
        <v>82</v>
      </c>
    </row>
    <row r="12" spans="1:30" ht="81" customHeight="1" thickTop="1" thickBot="1" x14ac:dyDescent="0.35">
      <c r="A12" s="388"/>
      <c r="B12" s="341"/>
      <c r="C12" s="29" t="s">
        <v>142</v>
      </c>
      <c r="D12" s="20">
        <f>20%/3</f>
        <v>6.6666666666666666E-2</v>
      </c>
      <c r="E12" s="12" t="s">
        <v>143</v>
      </c>
      <c r="F12" s="20">
        <f>20%/3</f>
        <v>6.6666666666666666E-2</v>
      </c>
      <c r="G12" s="34" t="s">
        <v>144</v>
      </c>
      <c r="H12" s="21" t="s">
        <v>43</v>
      </c>
      <c r="I12" s="43">
        <v>1</v>
      </c>
      <c r="J12" s="48">
        <f>I12*$F$12</f>
        <v>6.6666666666666666E-2</v>
      </c>
      <c r="K12" s="45" t="s">
        <v>313</v>
      </c>
      <c r="L12" s="43">
        <v>1</v>
      </c>
      <c r="M12" s="48">
        <f>L12*$F$12</f>
        <v>6.6666666666666666E-2</v>
      </c>
      <c r="N12" s="43">
        <v>1</v>
      </c>
      <c r="O12" s="48">
        <f>N12*$F$12</f>
        <v>6.6666666666666666E-2</v>
      </c>
      <c r="P12" s="48">
        <f t="shared" si="0"/>
        <v>6.6666666666666666E-2</v>
      </c>
      <c r="Q12" s="78" t="s">
        <v>178</v>
      </c>
      <c r="R12" s="43">
        <v>1</v>
      </c>
      <c r="S12" s="48">
        <f>R12*$F$12</f>
        <v>6.6666666666666666E-2</v>
      </c>
      <c r="T12" s="43">
        <v>1</v>
      </c>
      <c r="U12" s="48">
        <f>T12*$F$12</f>
        <v>6.6666666666666666E-2</v>
      </c>
      <c r="V12" s="328">
        <f>AVERAGE(S12,U12)</f>
        <v>6.6666666666666666E-2</v>
      </c>
      <c r="W12" s="241" t="s">
        <v>314</v>
      </c>
      <c r="X12" s="201">
        <v>1</v>
      </c>
      <c r="Y12" s="200">
        <f>X12*F12</f>
        <v>6.6666666666666666E-2</v>
      </c>
      <c r="Z12" s="43">
        <v>1</v>
      </c>
      <c r="AA12" s="200">
        <f>Z12*D12</f>
        <v>6.6666666666666666E-2</v>
      </c>
      <c r="AB12" s="161">
        <f>AVERAGE(Y12,AA12)</f>
        <v>6.6666666666666666E-2</v>
      </c>
      <c r="AC12" s="241" t="s">
        <v>314</v>
      </c>
      <c r="AD12" s="12" t="s">
        <v>38</v>
      </c>
    </row>
    <row r="13" spans="1:30" ht="105" customHeight="1" thickTop="1" thickBot="1" x14ac:dyDescent="0.35">
      <c r="A13" s="388"/>
      <c r="B13" s="341"/>
      <c r="C13" s="30" t="s">
        <v>60</v>
      </c>
      <c r="D13" s="20">
        <v>0.03</v>
      </c>
      <c r="E13" s="10" t="s">
        <v>61</v>
      </c>
      <c r="F13" s="20">
        <v>0.03</v>
      </c>
      <c r="G13" s="32" t="s">
        <v>62</v>
      </c>
      <c r="H13" s="19" t="s">
        <v>43</v>
      </c>
      <c r="I13" s="43">
        <v>0.52380000000000004</v>
      </c>
      <c r="J13" s="48">
        <f>I13*$F$13</f>
        <v>1.5714000000000002E-2</v>
      </c>
      <c r="K13" s="47" t="s">
        <v>315</v>
      </c>
      <c r="L13" s="43">
        <v>0.47620000000000001</v>
      </c>
      <c r="M13" s="48">
        <f>L13*$F$13</f>
        <v>1.4286E-2</v>
      </c>
      <c r="N13" s="43">
        <v>0.4783</v>
      </c>
      <c r="O13" s="48">
        <f>N13*$F$13</f>
        <v>1.4348999999999999E-2</v>
      </c>
      <c r="P13" s="48">
        <f t="shared" si="0"/>
        <v>1.43175E-2</v>
      </c>
      <c r="Q13" s="191" t="s">
        <v>316</v>
      </c>
      <c r="R13" s="43">
        <v>0.56530000000000002</v>
      </c>
      <c r="S13" s="48">
        <f>R13*$F$13</f>
        <v>1.6958999999999998E-2</v>
      </c>
      <c r="T13" s="43">
        <v>0.69569999999999999</v>
      </c>
      <c r="U13" s="48">
        <f>T13*$F$13</f>
        <v>2.0870999999999997E-2</v>
      </c>
      <c r="V13" s="328">
        <f>AVERAGE(S13,U13)</f>
        <v>1.8914999999999998E-2</v>
      </c>
      <c r="W13" s="259" t="s">
        <v>317</v>
      </c>
      <c r="X13" s="182">
        <v>0.58830000000000005</v>
      </c>
      <c r="Y13" s="147">
        <f>X13*$F$13</f>
        <v>1.7649000000000001E-2</v>
      </c>
      <c r="Z13" s="151">
        <v>0.66669999999999996</v>
      </c>
      <c r="AA13" s="147">
        <f>Z13*$F$13</f>
        <v>2.0000999999999998E-2</v>
      </c>
      <c r="AB13" s="161">
        <f>AVERAGE(Y13,AA13)</f>
        <v>1.8825000000000001E-2</v>
      </c>
      <c r="AC13" s="285" t="s">
        <v>318</v>
      </c>
      <c r="AD13" s="10" t="s">
        <v>38</v>
      </c>
    </row>
    <row r="14" spans="1:30" ht="172.5" customHeight="1" thickTop="1" thickBot="1" x14ac:dyDescent="0.35">
      <c r="A14" s="389"/>
      <c r="B14" s="389"/>
      <c r="C14" s="31" t="s">
        <v>67</v>
      </c>
      <c r="D14" s="17">
        <v>0.02</v>
      </c>
      <c r="E14" s="18" t="s">
        <v>68</v>
      </c>
      <c r="F14" s="17">
        <v>0.02</v>
      </c>
      <c r="G14" s="35" t="s">
        <v>69</v>
      </c>
      <c r="H14" s="4" t="s">
        <v>43</v>
      </c>
      <c r="I14" s="43">
        <v>0.61109999999999998</v>
      </c>
      <c r="J14" s="48">
        <f>I14*$F$14</f>
        <v>1.2222E-2</v>
      </c>
      <c r="K14" s="47" t="s">
        <v>319</v>
      </c>
      <c r="L14" s="43">
        <v>0</v>
      </c>
      <c r="M14" s="48">
        <f>L14*$F$14</f>
        <v>0</v>
      </c>
      <c r="N14" s="192">
        <v>0.625</v>
      </c>
      <c r="O14" s="48">
        <f>N14*$F$14</f>
        <v>1.2500000000000001E-2</v>
      </c>
      <c r="P14" s="48">
        <f t="shared" si="0"/>
        <v>6.2500000000000003E-3</v>
      </c>
      <c r="Q14" s="189" t="s">
        <v>320</v>
      </c>
      <c r="R14" s="43">
        <v>0.6</v>
      </c>
      <c r="S14" s="48">
        <f>R14*$F$14</f>
        <v>1.2E-2</v>
      </c>
      <c r="T14" s="192">
        <v>0.6</v>
      </c>
      <c r="U14" s="48">
        <f>T14*$F$14</f>
        <v>1.2E-2</v>
      </c>
      <c r="V14" s="328">
        <f>AVERAGE(S14,U14)</f>
        <v>1.2E-2</v>
      </c>
      <c r="W14" s="286" t="s">
        <v>321</v>
      </c>
      <c r="X14" s="220">
        <v>0.6</v>
      </c>
      <c r="Y14" s="268">
        <f>X14*$F$14</f>
        <v>1.2E-2</v>
      </c>
      <c r="Z14" s="219">
        <v>0.6</v>
      </c>
      <c r="AA14" s="268">
        <f>Z14*$F$14</f>
        <v>1.2E-2</v>
      </c>
      <c r="AB14" s="161">
        <f>AVERAGE(Y14,AA14)</f>
        <v>1.2E-2</v>
      </c>
      <c r="AC14" s="302" t="s">
        <v>322</v>
      </c>
      <c r="AD14" s="18" t="s">
        <v>38</v>
      </c>
    </row>
    <row r="15" spans="1:30" ht="130.94999999999999" customHeight="1" thickTop="1" thickBot="1" x14ac:dyDescent="0.35">
      <c r="A15" s="422" t="s">
        <v>74</v>
      </c>
      <c r="B15" s="414">
        <v>0.25</v>
      </c>
      <c r="C15" s="390" t="s">
        <v>75</v>
      </c>
      <c r="D15" s="416">
        <f>B15</f>
        <v>0.25</v>
      </c>
      <c r="E15" s="14" t="s">
        <v>76</v>
      </c>
      <c r="F15" s="16">
        <f>D15*0.8</f>
        <v>0.2</v>
      </c>
      <c r="G15" s="32" t="s">
        <v>77</v>
      </c>
      <c r="H15" s="13" t="s">
        <v>43</v>
      </c>
      <c r="I15" s="43">
        <v>0.4</v>
      </c>
      <c r="J15" s="48">
        <f>I15*$F$15</f>
        <v>8.0000000000000016E-2</v>
      </c>
      <c r="K15" s="62" t="s">
        <v>323</v>
      </c>
      <c r="L15" s="43">
        <v>0</v>
      </c>
      <c r="M15" s="48">
        <f>L15*$F$15</f>
        <v>0</v>
      </c>
      <c r="N15" s="192">
        <v>0.66669999999999996</v>
      </c>
      <c r="O15" s="48">
        <f>N15*$F$15</f>
        <v>0.13333999999999999</v>
      </c>
      <c r="P15" s="48">
        <f t="shared" si="0"/>
        <v>6.6669999999999993E-2</v>
      </c>
      <c r="Q15" s="454" t="s">
        <v>324</v>
      </c>
      <c r="R15" s="359">
        <v>0.5</v>
      </c>
      <c r="S15" s="364"/>
      <c r="T15" s="364"/>
      <c r="U15" s="365"/>
      <c r="V15" s="328">
        <f>R15*F15</f>
        <v>0.1</v>
      </c>
      <c r="W15" s="455" t="s">
        <v>325</v>
      </c>
      <c r="X15" s="373">
        <v>0.66669999999999996</v>
      </c>
      <c r="Y15" s="374"/>
      <c r="Z15" s="374"/>
      <c r="AA15" s="375"/>
      <c r="AB15" s="294">
        <f>X15*F15</f>
        <v>0.13333999999999999</v>
      </c>
      <c r="AC15" s="456" t="s">
        <v>326</v>
      </c>
      <c r="AD15" s="14" t="s">
        <v>82</v>
      </c>
    </row>
    <row r="16" spans="1:30" ht="130.94999999999999" customHeight="1" thickTop="1" thickBot="1" x14ac:dyDescent="0.35">
      <c r="A16" s="389"/>
      <c r="B16" s="389"/>
      <c r="C16" s="389"/>
      <c r="D16" s="389"/>
      <c r="E16" s="12" t="s">
        <v>83</v>
      </c>
      <c r="F16" s="15">
        <f>D15*0.2</f>
        <v>0.05</v>
      </c>
      <c r="G16" s="34" t="s">
        <v>84</v>
      </c>
      <c r="H16" s="11" t="s">
        <v>43</v>
      </c>
      <c r="I16" s="43">
        <v>0</v>
      </c>
      <c r="J16" s="48">
        <f>I16*$F$16</f>
        <v>0</v>
      </c>
      <c r="K16" s="62" t="s">
        <v>327</v>
      </c>
      <c r="L16" s="43">
        <v>0</v>
      </c>
      <c r="M16" s="48">
        <f>L16*$F$16</f>
        <v>0</v>
      </c>
      <c r="N16" s="192">
        <v>0.66669999999999996</v>
      </c>
      <c r="O16" s="48">
        <f>N16*$F$16</f>
        <v>3.3334999999999997E-2</v>
      </c>
      <c r="P16" s="48">
        <f t="shared" si="0"/>
        <v>1.6667499999999998E-2</v>
      </c>
      <c r="Q16" s="332"/>
      <c r="R16" s="359">
        <v>1</v>
      </c>
      <c r="S16" s="364"/>
      <c r="T16" s="364"/>
      <c r="U16" s="365"/>
      <c r="V16" s="328">
        <f>R16*F16</f>
        <v>0.05</v>
      </c>
      <c r="W16" s="362"/>
      <c r="X16" s="373">
        <v>0</v>
      </c>
      <c r="Y16" s="374"/>
      <c r="Z16" s="374"/>
      <c r="AA16" s="375"/>
      <c r="AB16" s="293">
        <f>X16*F16</f>
        <v>0</v>
      </c>
      <c r="AC16" s="362"/>
      <c r="AD16" s="12" t="s">
        <v>82</v>
      </c>
    </row>
    <row r="17" spans="1:30" ht="66" customHeight="1" thickTop="1" x14ac:dyDescent="0.3">
      <c r="A17" s="422" t="s">
        <v>86</v>
      </c>
      <c r="B17" s="414">
        <v>0.3</v>
      </c>
      <c r="C17" s="390" t="s">
        <v>87</v>
      </c>
      <c r="D17" s="416">
        <f>$B$17/2</f>
        <v>0.15</v>
      </c>
      <c r="E17" s="393" t="s">
        <v>88</v>
      </c>
      <c r="F17" s="416">
        <f>$B$17/2</f>
        <v>0.15</v>
      </c>
      <c r="G17" s="38" t="s">
        <v>89</v>
      </c>
      <c r="H17" s="13">
        <v>1</v>
      </c>
      <c r="I17" s="359">
        <v>1</v>
      </c>
      <c r="J17" s="368">
        <f>I17*$F$17</f>
        <v>0.15</v>
      </c>
      <c r="K17" s="412" t="s">
        <v>191</v>
      </c>
      <c r="L17" s="359">
        <v>1</v>
      </c>
      <c r="M17" s="346"/>
      <c r="N17" s="346"/>
      <c r="O17" s="396"/>
      <c r="P17" s="368">
        <f>L17*$F17</f>
        <v>0.15</v>
      </c>
      <c r="Q17" s="369" t="s">
        <v>91</v>
      </c>
      <c r="R17" s="359">
        <v>1</v>
      </c>
      <c r="S17" s="346"/>
      <c r="T17" s="346"/>
      <c r="U17" s="396"/>
      <c r="V17" s="452">
        <f>R17*$F17</f>
        <v>0.15</v>
      </c>
      <c r="W17" s="399" t="s">
        <v>92</v>
      </c>
      <c r="X17" s="458">
        <v>1</v>
      </c>
      <c r="Y17" s="341"/>
      <c r="Z17" s="341"/>
      <c r="AA17" s="352"/>
      <c r="AB17" s="386">
        <f>AVERAGE(X17*D17)</f>
        <v>0.15</v>
      </c>
      <c r="AC17" s="399" t="s">
        <v>92</v>
      </c>
      <c r="AD17" s="393" t="s">
        <v>93</v>
      </c>
    </row>
    <row r="18" spans="1:30" ht="66" customHeight="1" thickBot="1" x14ac:dyDescent="0.35">
      <c r="A18" s="388"/>
      <c r="B18" s="341"/>
      <c r="C18" s="389"/>
      <c r="D18" s="389"/>
      <c r="E18" s="389"/>
      <c r="F18" s="389"/>
      <c r="G18" s="39" t="s">
        <v>94</v>
      </c>
      <c r="H18" s="11">
        <v>0</v>
      </c>
      <c r="I18" s="332"/>
      <c r="J18" s="332"/>
      <c r="K18" s="332"/>
      <c r="L18" s="334"/>
      <c r="M18" s="353"/>
      <c r="N18" s="353"/>
      <c r="O18" s="354"/>
      <c r="P18" s="332"/>
      <c r="Q18" s="332"/>
      <c r="R18" s="334"/>
      <c r="S18" s="353"/>
      <c r="T18" s="353"/>
      <c r="U18" s="354"/>
      <c r="V18" s="334"/>
      <c r="W18" s="362"/>
      <c r="X18" s="353"/>
      <c r="Y18" s="353"/>
      <c r="Z18" s="353"/>
      <c r="AA18" s="354"/>
      <c r="AB18" s="334"/>
      <c r="AC18" s="362"/>
      <c r="AD18" s="389"/>
    </row>
    <row r="19" spans="1:30" ht="82.2" customHeight="1" thickTop="1" thickBot="1" x14ac:dyDescent="0.35">
      <c r="A19" s="389"/>
      <c r="B19" s="389"/>
      <c r="C19" s="37" t="s">
        <v>95</v>
      </c>
      <c r="D19" s="8">
        <v>0.15</v>
      </c>
      <c r="E19" s="9" t="s">
        <v>96</v>
      </c>
      <c r="F19" s="8">
        <v>0.15</v>
      </c>
      <c r="G19" s="32" t="s">
        <v>97</v>
      </c>
      <c r="H19" s="8">
        <v>1</v>
      </c>
      <c r="I19" s="43">
        <v>0.2</v>
      </c>
      <c r="J19" s="48">
        <f>I19*$F$19</f>
        <v>0.03</v>
      </c>
      <c r="K19" s="47" t="s">
        <v>328</v>
      </c>
      <c r="L19" s="359">
        <v>0.36249999999999999</v>
      </c>
      <c r="M19" s="364"/>
      <c r="N19" s="364"/>
      <c r="O19" s="365"/>
      <c r="P19" s="48">
        <f>L19*$F19</f>
        <v>5.4375E-2</v>
      </c>
      <c r="Q19" s="78" t="s">
        <v>329</v>
      </c>
      <c r="R19" s="359">
        <v>0.375</v>
      </c>
      <c r="S19" s="364"/>
      <c r="T19" s="364"/>
      <c r="U19" s="365"/>
      <c r="V19" s="328">
        <f>R19*$F19</f>
        <v>5.6249999999999994E-2</v>
      </c>
      <c r="W19" s="242" t="s">
        <v>330</v>
      </c>
      <c r="X19" s="453">
        <v>0.55830000000000002</v>
      </c>
      <c r="Y19" s="364"/>
      <c r="Z19" s="364"/>
      <c r="AA19" s="365"/>
      <c r="AB19" s="165">
        <f>AVERAGE(X19*D19)</f>
        <v>8.3745E-2</v>
      </c>
      <c r="AC19" s="237" t="s">
        <v>331</v>
      </c>
      <c r="AD19" s="9" t="s">
        <v>93</v>
      </c>
    </row>
    <row r="20" spans="1:30" ht="26.7" customHeight="1" thickTop="1" x14ac:dyDescent="0.3">
      <c r="I20" s="7" t="s">
        <v>102</v>
      </c>
      <c r="J20" s="6">
        <f>SUM(J2:J19)</f>
        <v>0.62193600000000004</v>
      </c>
      <c r="O20" s="7" t="s">
        <v>102</v>
      </c>
      <c r="P20" s="6">
        <f>SUM(P2:P19)</f>
        <v>0.69077999999999995</v>
      </c>
      <c r="Q20" s="66"/>
      <c r="U20" s="7" t="s">
        <v>102</v>
      </c>
      <c r="V20" s="6">
        <f>SUM(V2:V19)</f>
        <v>0.78059833333333351</v>
      </c>
      <c r="W20" s="66"/>
      <c r="X20" s="224"/>
      <c r="Y20" s="225"/>
      <c r="Z20" s="224"/>
      <c r="AA20" s="7" t="s">
        <v>102</v>
      </c>
      <c r="AB20" s="6">
        <f>SUM(AB2:AB19)</f>
        <v>0.78082666666666667</v>
      </c>
      <c r="AC20" s="226"/>
    </row>
  </sheetData>
  <mergeCells count="91">
    <mergeCell ref="AC6:AC8"/>
    <mergeCell ref="N6:N8"/>
    <mergeCell ref="AB6:AB8"/>
    <mergeCell ref="V2:V4"/>
    <mergeCell ref="Z6:Z8"/>
    <mergeCell ref="AC2:AC4"/>
    <mergeCell ref="X2:X4"/>
    <mergeCell ref="B2:B9"/>
    <mergeCell ref="X11:AA11"/>
    <mergeCell ref="B15:B16"/>
    <mergeCell ref="V6:V8"/>
    <mergeCell ref="Y2:Y4"/>
    <mergeCell ref="B10:B14"/>
    <mergeCell ref="J6:J8"/>
    <mergeCell ref="O2:O4"/>
    <mergeCell ref="Q2:Q4"/>
    <mergeCell ref="F2:F4"/>
    <mergeCell ref="T6:T8"/>
    <mergeCell ref="Q6:Q8"/>
    <mergeCell ref="T2:T4"/>
    <mergeCell ref="L19:O19"/>
    <mergeCell ref="D15:D16"/>
    <mergeCell ref="U2:U4"/>
    <mergeCell ref="C2:C5"/>
    <mergeCell ref="Q17:Q18"/>
    <mergeCell ref="P6:P8"/>
    <mergeCell ref="S2:S4"/>
    <mergeCell ref="M6:M8"/>
    <mergeCell ref="D17:D18"/>
    <mergeCell ref="D2:D5"/>
    <mergeCell ref="J2:J4"/>
    <mergeCell ref="L2:L4"/>
    <mergeCell ref="F6:F8"/>
    <mergeCell ref="I2:I4"/>
    <mergeCell ref="R19:U19"/>
    <mergeCell ref="K17:K18"/>
    <mergeCell ref="AD17:AD18"/>
    <mergeCell ref="X15:AA15"/>
    <mergeCell ref="AD2:AD4"/>
    <mergeCell ref="S6:S8"/>
    <mergeCell ref="W15:W16"/>
    <mergeCell ref="AC15:AC16"/>
    <mergeCell ref="R16:U16"/>
    <mergeCell ref="W17:W18"/>
    <mergeCell ref="AA6:AA8"/>
    <mergeCell ref="W2:W4"/>
    <mergeCell ref="R2:R4"/>
    <mergeCell ref="AD6:AD8"/>
    <mergeCell ref="Z2:Z4"/>
    <mergeCell ref="AB2:AB4"/>
    <mergeCell ref="X17:AA18"/>
    <mergeCell ref="AA2:AA4"/>
    <mergeCell ref="X19:AA19"/>
    <mergeCell ref="X6:X8"/>
    <mergeCell ref="AC17:AC18"/>
    <mergeCell ref="Y6:Y8"/>
    <mergeCell ref="A17:A19"/>
    <mergeCell ref="I6:I8"/>
    <mergeCell ref="K6:K8"/>
    <mergeCell ref="P17:P18"/>
    <mergeCell ref="F17:F18"/>
    <mergeCell ref="A10:A14"/>
    <mergeCell ref="AB17:AB18"/>
    <mergeCell ref="Q15:Q16"/>
    <mergeCell ref="O6:O8"/>
    <mergeCell ref="U6:U8"/>
    <mergeCell ref="X16:AA16"/>
    <mergeCell ref="R6:R8"/>
    <mergeCell ref="W6:W8"/>
    <mergeCell ref="R15:U15"/>
    <mergeCell ref="M2:M4"/>
    <mergeCell ref="P2:P4"/>
    <mergeCell ref="E2:E4"/>
    <mergeCell ref="K2:K4"/>
    <mergeCell ref="L6:L8"/>
    <mergeCell ref="E6:E8"/>
    <mergeCell ref="A2:A9"/>
    <mergeCell ref="J17:J18"/>
    <mergeCell ref="A15:A16"/>
    <mergeCell ref="V17:V18"/>
    <mergeCell ref="N2:N4"/>
    <mergeCell ref="C15:C16"/>
    <mergeCell ref="C6:C9"/>
    <mergeCell ref="R11:U11"/>
    <mergeCell ref="E17:E18"/>
    <mergeCell ref="D6:D9"/>
    <mergeCell ref="R17:U18"/>
    <mergeCell ref="I17:I18"/>
    <mergeCell ref="C17:C18"/>
    <mergeCell ref="B17:B19"/>
    <mergeCell ref="L17:O18"/>
  </mergeCells>
  <printOptions horizontalCentered="1"/>
  <pageMargins left="0.23622047244094491" right="0.23622047244094491" top="0.74803149606299213" bottom="0.74803149606299213" header="0.31496062992125978" footer="0.31496062992125978"/>
  <pageSetup scale="42" fitToHeight="0" orientation="landscape"/>
  <rowBreaks count="1" manualBreakCount="1">
    <brk id="16" max="16383"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2">
    <tabColor theme="7" tint="0.39997558519241921"/>
  </sheetPr>
  <dimension ref="A1:AD26"/>
  <sheetViews>
    <sheetView topLeftCell="A15" zoomScale="48" zoomScaleNormal="78" zoomScaleSheetLayoutView="70" workbookViewId="0">
      <selection activeCell="A22" sqref="A22:A24"/>
    </sheetView>
  </sheetViews>
  <sheetFormatPr baseColWidth="10" defaultColWidth="11.44140625" defaultRowHeight="21" x14ac:dyDescent="0.4"/>
  <cols>
    <col min="1" max="1" width="20.6640625" style="5" customWidth="1"/>
    <col min="2" max="2" width="9.109375" customWidth="1"/>
    <col min="3" max="3" width="19.6640625" style="4" customWidth="1"/>
    <col min="4" max="4" width="9.88671875" customWidth="1"/>
    <col min="5" max="5" width="40.6640625" style="3" customWidth="1"/>
    <col min="6" max="6" width="22.109375" customWidth="1"/>
    <col min="7" max="7" width="51.109375" customWidth="1"/>
    <col min="8" max="8" width="10.109375" style="267" customWidth="1"/>
    <col min="9" max="9" width="25.6640625" style="2" customWidth="1"/>
    <col min="10" max="10" width="25.6640625" style="1" customWidth="1"/>
    <col min="11" max="11" width="70.6640625" customWidth="1"/>
    <col min="12" max="16" width="25.6640625" customWidth="1"/>
    <col min="17" max="17" width="93.88671875" style="168" customWidth="1"/>
    <col min="18" max="22" width="19.6640625" customWidth="1"/>
    <col min="23" max="23" width="84.88671875" customWidth="1"/>
    <col min="24" max="28" width="21.88671875" customWidth="1"/>
    <col min="29" max="29" width="82.109375" customWidth="1"/>
    <col min="30" max="30" width="19.5546875" customWidth="1"/>
  </cols>
  <sheetData>
    <row r="1" spans="1:30" s="28" customFormat="1" ht="51.45" customHeight="1" thickTop="1" thickBot="1" x14ac:dyDescent="0.35">
      <c r="A1" s="153" t="s">
        <v>0</v>
      </c>
      <c r="B1" s="153" t="s">
        <v>1</v>
      </c>
      <c r="C1" s="153" t="s">
        <v>2</v>
      </c>
      <c r="D1" s="153" t="s">
        <v>3</v>
      </c>
      <c r="E1" s="153" t="s">
        <v>4</v>
      </c>
      <c r="F1" s="153" t="s">
        <v>5</v>
      </c>
      <c r="G1" s="153" t="s">
        <v>6</v>
      </c>
      <c r="H1" s="153" t="s">
        <v>7</v>
      </c>
      <c r="I1" s="153" t="s">
        <v>8</v>
      </c>
      <c r="J1" s="153" t="s">
        <v>9</v>
      </c>
      <c r="K1" s="160" t="s">
        <v>10</v>
      </c>
      <c r="L1" s="153" t="s">
        <v>11</v>
      </c>
      <c r="M1" s="153" t="s">
        <v>12</v>
      </c>
      <c r="N1" s="153" t="s">
        <v>13</v>
      </c>
      <c r="O1" s="153" t="s">
        <v>14</v>
      </c>
      <c r="P1" s="153" t="s">
        <v>15</v>
      </c>
      <c r="Q1" s="160" t="s">
        <v>16</v>
      </c>
      <c r="R1" s="153" t="s">
        <v>17</v>
      </c>
      <c r="S1" s="153" t="s">
        <v>18</v>
      </c>
      <c r="T1" s="153" t="s">
        <v>19</v>
      </c>
      <c r="U1" s="153" t="s">
        <v>20</v>
      </c>
      <c r="V1" s="153" t="s">
        <v>21</v>
      </c>
      <c r="W1" s="160" t="s">
        <v>22</v>
      </c>
      <c r="X1" s="153" t="s">
        <v>23</v>
      </c>
      <c r="Y1" s="153" t="s">
        <v>24</v>
      </c>
      <c r="Z1" s="153" t="s">
        <v>25</v>
      </c>
      <c r="AA1" s="153" t="s">
        <v>26</v>
      </c>
      <c r="AB1" s="153" t="s">
        <v>27</v>
      </c>
      <c r="AC1" s="160" t="s">
        <v>28</v>
      </c>
      <c r="AD1" s="28" t="s">
        <v>29</v>
      </c>
    </row>
    <row r="2" spans="1:30" ht="45" customHeight="1" thickTop="1" thickBot="1" x14ac:dyDescent="0.35">
      <c r="A2" s="387" t="s">
        <v>30</v>
      </c>
      <c r="B2" s="414">
        <v>0.2</v>
      </c>
      <c r="C2" s="391" t="s">
        <v>31</v>
      </c>
      <c r="D2" s="409">
        <f>$B$2/3</f>
        <v>6.6666666666666666E-2</v>
      </c>
      <c r="E2" s="393" t="s">
        <v>32</v>
      </c>
      <c r="F2" s="413">
        <f>$B$2/6</f>
        <v>3.3333333333333333E-2</v>
      </c>
      <c r="G2" s="40" t="s">
        <v>33</v>
      </c>
      <c r="H2" s="309">
        <v>1</v>
      </c>
      <c r="I2" s="359">
        <v>1</v>
      </c>
      <c r="J2" s="368">
        <f>I2*$F$2</f>
        <v>3.3333333333333333E-2</v>
      </c>
      <c r="K2" s="426" t="s">
        <v>332</v>
      </c>
      <c r="L2" s="359">
        <v>1</v>
      </c>
      <c r="M2" s="368">
        <f>L2*$F$2</f>
        <v>3.3333333333333333E-2</v>
      </c>
      <c r="N2" s="359">
        <v>0.92</v>
      </c>
      <c r="O2" s="368">
        <f>N2*$F$2</f>
        <v>3.0666666666666668E-2</v>
      </c>
      <c r="P2" s="368">
        <f>AVERAGE(M2,O2)</f>
        <v>3.2000000000000001E-2</v>
      </c>
      <c r="Q2" s="356" t="s">
        <v>333</v>
      </c>
      <c r="R2" s="359">
        <v>1</v>
      </c>
      <c r="S2" s="368">
        <f>R2*$F$2</f>
        <v>3.3333333333333333E-2</v>
      </c>
      <c r="T2" s="359">
        <v>0.88890000000000002</v>
      </c>
      <c r="U2" s="368">
        <f>T2*$F$2</f>
        <v>2.963E-2</v>
      </c>
      <c r="V2" s="386">
        <f>AVERAGE(S2,U2)</f>
        <v>3.1481666666666665E-2</v>
      </c>
      <c r="W2" s="461" t="s">
        <v>334</v>
      </c>
      <c r="X2" s="351">
        <v>0.88</v>
      </c>
      <c r="Y2" s="358">
        <f>X2*$F$2</f>
        <v>2.9333333333333333E-2</v>
      </c>
      <c r="Z2" s="349">
        <v>0.8</v>
      </c>
      <c r="AA2" s="358">
        <f>Z2*$F$2</f>
        <v>2.6666666666666668E-2</v>
      </c>
      <c r="AB2" s="350">
        <f>AVERAGE(Y2,AA2)</f>
        <v>2.8000000000000001E-2</v>
      </c>
      <c r="AC2" s="360" t="s">
        <v>335</v>
      </c>
      <c r="AD2" s="393" t="s">
        <v>38</v>
      </c>
    </row>
    <row r="3" spans="1:30" ht="46.5" customHeight="1" thickTop="1" thickBot="1" x14ac:dyDescent="0.35">
      <c r="A3" s="388"/>
      <c r="B3" s="341"/>
      <c r="C3" s="392"/>
      <c r="D3" s="341"/>
      <c r="E3" s="397"/>
      <c r="F3" s="341"/>
      <c r="G3" s="40" t="s">
        <v>39</v>
      </c>
      <c r="H3" s="310">
        <v>0.8</v>
      </c>
      <c r="I3" s="336"/>
      <c r="J3" s="336"/>
      <c r="K3" s="336"/>
      <c r="L3" s="336"/>
      <c r="M3" s="336"/>
      <c r="N3" s="336"/>
      <c r="O3" s="336"/>
      <c r="P3" s="336"/>
      <c r="Q3" s="336"/>
      <c r="R3" s="336"/>
      <c r="S3" s="336"/>
      <c r="T3" s="336"/>
      <c r="U3" s="336"/>
      <c r="V3" s="347"/>
      <c r="W3" s="361"/>
      <c r="X3" s="352"/>
      <c r="Y3" s="336"/>
      <c r="Z3" s="336"/>
      <c r="AA3" s="336"/>
      <c r="AB3" s="347"/>
      <c r="AC3" s="361"/>
      <c r="AD3" s="341"/>
    </row>
    <row r="4" spans="1:30" ht="53.25" customHeight="1" thickTop="1" thickBot="1" x14ac:dyDescent="0.35">
      <c r="A4" s="388"/>
      <c r="B4" s="341"/>
      <c r="C4" s="392"/>
      <c r="D4" s="341"/>
      <c r="E4" s="389"/>
      <c r="F4" s="389"/>
      <c r="G4" s="40" t="s">
        <v>40</v>
      </c>
      <c r="H4" s="23">
        <v>0</v>
      </c>
      <c r="I4" s="332"/>
      <c r="J4" s="332"/>
      <c r="K4" s="332"/>
      <c r="L4" s="332"/>
      <c r="M4" s="332"/>
      <c r="N4" s="332"/>
      <c r="O4" s="332"/>
      <c r="P4" s="332"/>
      <c r="Q4" s="332"/>
      <c r="R4" s="332"/>
      <c r="S4" s="332"/>
      <c r="T4" s="332"/>
      <c r="U4" s="332"/>
      <c r="V4" s="334"/>
      <c r="W4" s="362"/>
      <c r="X4" s="354"/>
      <c r="Y4" s="332"/>
      <c r="Z4" s="332"/>
      <c r="AA4" s="332"/>
      <c r="AB4" s="334"/>
      <c r="AC4" s="362"/>
      <c r="AD4" s="389"/>
    </row>
    <row r="5" spans="1:30" ht="129.6" customHeight="1" thickTop="1" thickBot="1" x14ac:dyDescent="0.35">
      <c r="A5" s="388"/>
      <c r="B5" s="341"/>
      <c r="C5" s="389"/>
      <c r="D5" s="389"/>
      <c r="E5" s="12" t="s">
        <v>41</v>
      </c>
      <c r="F5" s="24">
        <f>$B$2/6</f>
        <v>3.3333333333333333E-2</v>
      </c>
      <c r="G5" s="40" t="s">
        <v>42</v>
      </c>
      <c r="H5" s="23" t="s">
        <v>43</v>
      </c>
      <c r="I5" s="43">
        <v>1</v>
      </c>
      <c r="J5" s="48">
        <f>I5*$F$5</f>
        <v>3.3333333333333333E-2</v>
      </c>
      <c r="K5" s="46" t="s">
        <v>124</v>
      </c>
      <c r="L5" s="43">
        <v>1</v>
      </c>
      <c r="M5" s="48">
        <f>L5*$F$5</f>
        <v>3.3333333333333333E-2</v>
      </c>
      <c r="N5" s="43">
        <v>1</v>
      </c>
      <c r="O5" s="48">
        <f>N5*$F$5</f>
        <v>3.3333333333333333E-2</v>
      </c>
      <c r="P5" s="48">
        <f>AVERAGE(M5,O5)</f>
        <v>3.3333333333333333E-2</v>
      </c>
      <c r="Q5" s="71" t="s">
        <v>123</v>
      </c>
      <c r="R5" s="43">
        <v>1</v>
      </c>
      <c r="S5" s="48">
        <f>R5*$F$5</f>
        <v>3.3333333333333333E-2</v>
      </c>
      <c r="T5" s="43">
        <v>0.88890000000000002</v>
      </c>
      <c r="U5" s="48">
        <f>T5*$F$5</f>
        <v>2.963E-2</v>
      </c>
      <c r="V5" s="165">
        <f>AVERAGE(S5,U5)</f>
        <v>3.1481666666666665E-2</v>
      </c>
      <c r="W5" s="248" t="s">
        <v>336</v>
      </c>
      <c r="X5" s="201">
        <v>0.88</v>
      </c>
      <c r="Y5" s="48">
        <f>X5*$F$5</f>
        <v>2.9333333333333333E-2</v>
      </c>
      <c r="Z5" s="43">
        <v>0.89</v>
      </c>
      <c r="AA5" s="48">
        <f>Z5*$F$5</f>
        <v>2.9666666666666668E-2</v>
      </c>
      <c r="AB5" s="165">
        <f>AVERAGE(Y5,AA5)</f>
        <v>2.9499999999999998E-2</v>
      </c>
      <c r="AC5" s="231" t="s">
        <v>337</v>
      </c>
      <c r="AD5" s="12" t="s">
        <v>38</v>
      </c>
    </row>
    <row r="6" spans="1:30" ht="18.600000000000001" customHeight="1" thickTop="1" thickBot="1" x14ac:dyDescent="0.35">
      <c r="A6" s="388"/>
      <c r="B6" s="341"/>
      <c r="C6" s="391" t="s">
        <v>200</v>
      </c>
      <c r="D6" s="409">
        <f>$B$2/3</f>
        <v>6.6666666666666666E-2</v>
      </c>
      <c r="E6" s="393" t="s">
        <v>32</v>
      </c>
      <c r="F6" s="413">
        <f>$B$2/6</f>
        <v>3.3333333333333333E-2</v>
      </c>
      <c r="G6" s="40" t="s">
        <v>33</v>
      </c>
      <c r="H6" s="309">
        <v>1</v>
      </c>
      <c r="I6" s="359">
        <v>0</v>
      </c>
      <c r="J6" s="368">
        <f>I6*$F$6</f>
        <v>0</v>
      </c>
      <c r="K6" s="426" t="s">
        <v>338</v>
      </c>
      <c r="L6" s="359">
        <v>0.5</v>
      </c>
      <c r="M6" s="368">
        <f>L6*$F$6</f>
        <v>1.6666666666666666E-2</v>
      </c>
      <c r="N6" s="359">
        <v>1</v>
      </c>
      <c r="O6" s="368">
        <f>N6*$F$6</f>
        <v>3.3333333333333333E-2</v>
      </c>
      <c r="P6" s="368">
        <f>AVERAGE(M6,O6)</f>
        <v>2.5000000000000001E-2</v>
      </c>
      <c r="Q6" s="356" t="s">
        <v>339</v>
      </c>
      <c r="R6" s="359">
        <v>0.13800000000000001</v>
      </c>
      <c r="S6" s="368">
        <f>R6*$F$6</f>
        <v>4.5999999999999999E-3</v>
      </c>
      <c r="T6" s="359">
        <v>1</v>
      </c>
      <c r="U6" s="368">
        <f>T6*$F$6</f>
        <v>3.3333333333333333E-2</v>
      </c>
      <c r="V6" s="386">
        <f>AVERAGE(S6,U6)</f>
        <v>1.8966666666666666E-2</v>
      </c>
      <c r="W6" s="415" t="s">
        <v>203</v>
      </c>
      <c r="X6" s="366">
        <v>1</v>
      </c>
      <c r="Y6" s="368">
        <f>X6*$F$6</f>
        <v>3.3333333333333333E-2</v>
      </c>
      <c r="Z6" s="359">
        <v>1</v>
      </c>
      <c r="AA6" s="368">
        <f>Z6*$F$6</f>
        <v>3.3333333333333333E-2</v>
      </c>
      <c r="AB6" s="386">
        <f>AVERAGE(Y6,AA6)</f>
        <v>3.3333333333333333E-2</v>
      </c>
      <c r="AC6" s="431" t="s">
        <v>203</v>
      </c>
      <c r="AD6" s="393" t="s">
        <v>38</v>
      </c>
    </row>
    <row r="7" spans="1:30" ht="18.600000000000001" customHeight="1" thickTop="1" thickBot="1" x14ac:dyDescent="0.35">
      <c r="A7" s="388"/>
      <c r="B7" s="341"/>
      <c r="C7" s="392"/>
      <c r="D7" s="341"/>
      <c r="E7" s="397"/>
      <c r="F7" s="341"/>
      <c r="G7" s="40" t="s">
        <v>39</v>
      </c>
      <c r="H7" s="310">
        <v>0.8</v>
      </c>
      <c r="I7" s="336"/>
      <c r="J7" s="336"/>
      <c r="K7" s="336"/>
      <c r="L7" s="336"/>
      <c r="M7" s="336"/>
      <c r="N7" s="336"/>
      <c r="O7" s="336"/>
      <c r="P7" s="336"/>
      <c r="Q7" s="336"/>
      <c r="R7" s="336"/>
      <c r="S7" s="336"/>
      <c r="T7" s="336"/>
      <c r="U7" s="336"/>
      <c r="V7" s="347"/>
      <c r="W7" s="361"/>
      <c r="X7" s="352"/>
      <c r="Y7" s="336"/>
      <c r="Z7" s="336"/>
      <c r="AA7" s="336"/>
      <c r="AB7" s="347"/>
      <c r="AC7" s="361"/>
      <c r="AD7" s="341"/>
    </row>
    <row r="8" spans="1:30" ht="63.6" customHeight="1" thickTop="1" thickBot="1" x14ac:dyDescent="0.35">
      <c r="A8" s="388"/>
      <c r="B8" s="341"/>
      <c r="C8" s="392"/>
      <c r="D8" s="341"/>
      <c r="E8" s="389"/>
      <c r="F8" s="389"/>
      <c r="G8" s="40" t="s">
        <v>40</v>
      </c>
      <c r="H8" s="23">
        <v>0</v>
      </c>
      <c r="I8" s="332"/>
      <c r="J8" s="332"/>
      <c r="K8" s="332"/>
      <c r="L8" s="332"/>
      <c r="M8" s="332"/>
      <c r="N8" s="332"/>
      <c r="O8" s="332"/>
      <c r="P8" s="332"/>
      <c r="Q8" s="332"/>
      <c r="R8" s="332"/>
      <c r="S8" s="332"/>
      <c r="T8" s="332"/>
      <c r="U8" s="332"/>
      <c r="V8" s="334"/>
      <c r="W8" s="362"/>
      <c r="X8" s="354"/>
      <c r="Y8" s="332"/>
      <c r="Z8" s="332"/>
      <c r="AA8" s="332"/>
      <c r="AB8" s="334"/>
      <c r="AC8" s="362"/>
      <c r="AD8" s="389"/>
    </row>
    <row r="9" spans="1:30" ht="80.400000000000006" customHeight="1" thickTop="1" thickBot="1" x14ac:dyDescent="0.35">
      <c r="A9" s="388"/>
      <c r="B9" s="341"/>
      <c r="C9" s="389"/>
      <c r="D9" s="389"/>
      <c r="E9" s="12" t="s">
        <v>41</v>
      </c>
      <c r="F9" s="24">
        <f>$B$2/6</f>
        <v>3.3333333333333333E-2</v>
      </c>
      <c r="G9" s="40" t="s">
        <v>42</v>
      </c>
      <c r="H9" s="23" t="s">
        <v>43</v>
      </c>
      <c r="I9" s="43">
        <v>0</v>
      </c>
      <c r="J9" s="48">
        <f>I9*$F$9</f>
        <v>0</v>
      </c>
      <c r="K9" s="46" t="s">
        <v>338</v>
      </c>
      <c r="L9" s="43">
        <v>0.47499999999999998</v>
      </c>
      <c r="M9" s="48">
        <f>L9*$F$9</f>
        <v>1.5833333333333331E-2</v>
      </c>
      <c r="N9" s="43">
        <v>0.8</v>
      </c>
      <c r="O9" s="48">
        <f>N9*$F$9</f>
        <v>2.6666666666666668E-2</v>
      </c>
      <c r="P9" s="48">
        <f>AVERAGE(M9,O9)</f>
        <v>2.1249999999999998E-2</v>
      </c>
      <c r="Q9" s="71" t="s">
        <v>340</v>
      </c>
      <c r="R9" s="43">
        <v>0.123</v>
      </c>
      <c r="S9" s="48">
        <f>R9*$F$9</f>
        <v>4.0999999999999995E-3</v>
      </c>
      <c r="T9" s="43">
        <v>8.6999999999999994E-2</v>
      </c>
      <c r="U9" s="48">
        <f>T9*$F$9</f>
        <v>2.8999999999999998E-3</v>
      </c>
      <c r="V9" s="165">
        <f>AVERAGE(S9,U9)</f>
        <v>3.4999999999999996E-3</v>
      </c>
      <c r="W9" s="248" t="s">
        <v>341</v>
      </c>
      <c r="X9" s="201">
        <v>0.4</v>
      </c>
      <c r="Y9" s="48">
        <f>X9*$F$9</f>
        <v>1.3333333333333334E-2</v>
      </c>
      <c r="Z9" s="43">
        <v>0.17899999999999999</v>
      </c>
      <c r="AA9" s="48">
        <f>Z9*$F$9</f>
        <v>5.9666666666666661E-3</v>
      </c>
      <c r="AB9" s="165">
        <f>AVERAGE(Y9,AA9)</f>
        <v>9.6500000000000006E-3</v>
      </c>
      <c r="AC9" s="257" t="s">
        <v>342</v>
      </c>
      <c r="AD9" s="12" t="s">
        <v>38</v>
      </c>
    </row>
    <row r="10" spans="1:30" ht="18.600000000000001" customHeight="1" thickTop="1" thickBot="1" x14ac:dyDescent="0.35">
      <c r="A10" s="388"/>
      <c r="B10" s="341"/>
      <c r="C10" s="391" t="s">
        <v>46</v>
      </c>
      <c r="D10" s="409">
        <f>$B$2/3</f>
        <v>6.6666666666666666E-2</v>
      </c>
      <c r="E10" s="393" t="s">
        <v>32</v>
      </c>
      <c r="F10" s="413">
        <f>$B$2/6</f>
        <v>3.3333333333333333E-2</v>
      </c>
      <c r="G10" s="40" t="s">
        <v>33</v>
      </c>
      <c r="H10" s="309">
        <v>1</v>
      </c>
      <c r="I10" s="359">
        <v>0.5</v>
      </c>
      <c r="J10" s="368">
        <f>$F$10*I10</f>
        <v>1.6666666666666666E-2</v>
      </c>
      <c r="K10" s="426" t="s">
        <v>343</v>
      </c>
      <c r="L10" s="359">
        <v>1</v>
      </c>
      <c r="M10" s="368">
        <f>L10*$F$10</f>
        <v>3.3333333333333333E-2</v>
      </c>
      <c r="N10" s="359">
        <v>1</v>
      </c>
      <c r="O10" s="368">
        <f>N10*$F$10</f>
        <v>3.3333333333333333E-2</v>
      </c>
      <c r="P10" s="368">
        <f>AVERAGE(M10,O10)</f>
        <v>3.3333333333333333E-2</v>
      </c>
      <c r="Q10" s="356" t="s">
        <v>168</v>
      </c>
      <c r="R10" s="359">
        <v>1</v>
      </c>
      <c r="S10" s="368">
        <f>R10*$F$10</f>
        <v>3.3333333333333333E-2</v>
      </c>
      <c r="T10" s="359">
        <v>1</v>
      </c>
      <c r="U10" s="368">
        <f>T10*$F$10</f>
        <v>3.3333333333333333E-2</v>
      </c>
      <c r="V10" s="386">
        <f>AVERAGE(S10,U10)</f>
        <v>3.3333333333333333E-2</v>
      </c>
      <c r="W10" s="415" t="s">
        <v>168</v>
      </c>
      <c r="X10" s="366">
        <v>1</v>
      </c>
      <c r="Y10" s="368">
        <f>X10*$F$10</f>
        <v>3.3333333333333333E-2</v>
      </c>
      <c r="Z10" s="359">
        <v>1</v>
      </c>
      <c r="AA10" s="368">
        <f>Z10*$F$10</f>
        <v>3.3333333333333333E-2</v>
      </c>
      <c r="AB10" s="386">
        <f>AVERAGE(Y10,AA10)</f>
        <v>3.3333333333333333E-2</v>
      </c>
      <c r="AC10" s="383" t="s">
        <v>168</v>
      </c>
      <c r="AD10" s="393" t="s">
        <v>38</v>
      </c>
    </row>
    <row r="11" spans="1:30" ht="18.600000000000001" customHeight="1" thickTop="1" thickBot="1" x14ac:dyDescent="0.35">
      <c r="A11" s="388"/>
      <c r="B11" s="341"/>
      <c r="C11" s="392"/>
      <c r="D11" s="341"/>
      <c r="E11" s="397"/>
      <c r="F11" s="341"/>
      <c r="G11" s="40" t="s">
        <v>39</v>
      </c>
      <c r="H11" s="310">
        <v>0.8</v>
      </c>
      <c r="I11" s="336"/>
      <c r="J11" s="336"/>
      <c r="K11" s="336"/>
      <c r="L11" s="336"/>
      <c r="M11" s="336"/>
      <c r="N11" s="336"/>
      <c r="O11" s="336"/>
      <c r="P11" s="336"/>
      <c r="Q11" s="336"/>
      <c r="R11" s="336"/>
      <c r="S11" s="336"/>
      <c r="T11" s="336"/>
      <c r="U11" s="336"/>
      <c r="V11" s="347"/>
      <c r="W11" s="361"/>
      <c r="X11" s="352"/>
      <c r="Y11" s="336"/>
      <c r="Z11" s="336"/>
      <c r="AA11" s="336"/>
      <c r="AB11" s="347"/>
      <c r="AC11" s="361"/>
      <c r="AD11" s="341"/>
    </row>
    <row r="12" spans="1:30" ht="57" customHeight="1" thickTop="1" thickBot="1" x14ac:dyDescent="0.35">
      <c r="A12" s="388"/>
      <c r="B12" s="341"/>
      <c r="C12" s="392"/>
      <c r="D12" s="341"/>
      <c r="E12" s="389"/>
      <c r="F12" s="389"/>
      <c r="G12" s="40" t="s">
        <v>40</v>
      </c>
      <c r="H12" s="23">
        <v>0.5</v>
      </c>
      <c r="I12" s="332"/>
      <c r="J12" s="332"/>
      <c r="K12" s="332"/>
      <c r="L12" s="332"/>
      <c r="M12" s="332"/>
      <c r="N12" s="332"/>
      <c r="O12" s="332"/>
      <c r="P12" s="332"/>
      <c r="Q12" s="332"/>
      <c r="R12" s="332"/>
      <c r="S12" s="332"/>
      <c r="T12" s="332"/>
      <c r="U12" s="332"/>
      <c r="V12" s="334"/>
      <c r="W12" s="362"/>
      <c r="X12" s="354"/>
      <c r="Y12" s="332"/>
      <c r="Z12" s="332"/>
      <c r="AA12" s="332"/>
      <c r="AB12" s="334"/>
      <c r="AC12" s="362"/>
      <c r="AD12" s="389"/>
    </row>
    <row r="13" spans="1:30" ht="129.6" customHeight="1" thickTop="1" thickBot="1" x14ac:dyDescent="0.35">
      <c r="A13" s="389"/>
      <c r="B13" s="389"/>
      <c r="C13" s="389"/>
      <c r="D13" s="389"/>
      <c r="E13" s="12" t="s">
        <v>41</v>
      </c>
      <c r="F13" s="24">
        <f>$B$2/6</f>
        <v>3.3333333333333333E-2</v>
      </c>
      <c r="G13" s="40" t="s">
        <v>42</v>
      </c>
      <c r="H13" s="23" t="s">
        <v>43</v>
      </c>
      <c r="I13" s="43">
        <v>0.8</v>
      </c>
      <c r="J13" s="48">
        <f>I13*$F$13</f>
        <v>2.6666666666666668E-2</v>
      </c>
      <c r="K13" s="46" t="s">
        <v>344</v>
      </c>
      <c r="L13" s="43">
        <v>1</v>
      </c>
      <c r="M13" s="48">
        <f>L13*$F$13</f>
        <v>3.3333333333333333E-2</v>
      </c>
      <c r="N13" s="43">
        <v>1</v>
      </c>
      <c r="O13" s="48">
        <f>N13*$F$13</f>
        <v>3.3333333333333333E-2</v>
      </c>
      <c r="P13" s="165">
        <f t="shared" ref="P13:P21" si="0">AVERAGE(M13,O13)</f>
        <v>3.3333333333333333E-2</v>
      </c>
      <c r="Q13" s="71" t="s">
        <v>345</v>
      </c>
      <c r="R13" s="43">
        <v>0.85</v>
      </c>
      <c r="S13" s="48">
        <f>R13*$F$13</f>
        <v>2.8333333333333332E-2</v>
      </c>
      <c r="T13" s="43">
        <v>0.85</v>
      </c>
      <c r="U13" s="48">
        <f>T13*$F$13</f>
        <v>2.8333333333333332E-2</v>
      </c>
      <c r="V13" s="165">
        <f>AVERAGE(S13,U13)</f>
        <v>2.8333333333333332E-2</v>
      </c>
      <c r="W13" s="325" t="s">
        <v>346</v>
      </c>
      <c r="X13" s="182">
        <v>0.85</v>
      </c>
      <c r="Y13" s="147">
        <f>X13*$F$13</f>
        <v>2.8333333333333332E-2</v>
      </c>
      <c r="Z13" s="151">
        <v>0.85</v>
      </c>
      <c r="AA13" s="147">
        <f>Z13*$F$13</f>
        <v>2.8333333333333332E-2</v>
      </c>
      <c r="AB13" s="161">
        <f>AVERAGE(Y13,AA13)</f>
        <v>2.8333333333333332E-2</v>
      </c>
      <c r="AC13" s="279" t="s">
        <v>346</v>
      </c>
      <c r="AD13" s="12" t="s">
        <v>38</v>
      </c>
    </row>
    <row r="14" spans="1:30" ht="124.5" customHeight="1" thickTop="1" thickBot="1" x14ac:dyDescent="0.35">
      <c r="A14" s="422" t="s">
        <v>55</v>
      </c>
      <c r="B14" s="414">
        <v>0.25</v>
      </c>
      <c r="C14" s="30" t="s">
        <v>31</v>
      </c>
      <c r="D14" s="20">
        <v>0.05</v>
      </c>
      <c r="E14" s="10" t="s">
        <v>56</v>
      </c>
      <c r="F14" s="20">
        <v>0.05</v>
      </c>
      <c r="G14" s="32" t="s">
        <v>57</v>
      </c>
      <c r="H14" s="19" t="s">
        <v>43</v>
      </c>
      <c r="I14" s="43">
        <v>1</v>
      </c>
      <c r="J14" s="48">
        <f>I14*$F$14</f>
        <v>0.05</v>
      </c>
      <c r="K14" s="47" t="s">
        <v>347</v>
      </c>
      <c r="L14" s="43">
        <v>1</v>
      </c>
      <c r="M14" s="48">
        <f>L14*$F$14</f>
        <v>0.05</v>
      </c>
      <c r="N14" s="43">
        <v>0.96</v>
      </c>
      <c r="O14" s="48">
        <f>N14*$F$14</f>
        <v>4.8000000000000001E-2</v>
      </c>
      <c r="P14" s="48">
        <f t="shared" si="0"/>
        <v>4.9000000000000002E-2</v>
      </c>
      <c r="Q14" s="172" t="s">
        <v>348</v>
      </c>
      <c r="R14" s="43">
        <v>1</v>
      </c>
      <c r="S14" s="48">
        <f>R14*$F$14</f>
        <v>0.05</v>
      </c>
      <c r="T14" s="43">
        <v>0.88890000000000002</v>
      </c>
      <c r="U14" s="48">
        <f>T14*$F$14</f>
        <v>4.4445000000000005E-2</v>
      </c>
      <c r="V14" s="165">
        <f>AVERAGE(S14,U14)</f>
        <v>4.7222500000000001E-2</v>
      </c>
      <c r="W14" s="308" t="s">
        <v>349</v>
      </c>
      <c r="X14" s="182">
        <v>0.88</v>
      </c>
      <c r="Y14" s="147">
        <f>X14*$F$14</f>
        <v>4.4000000000000004E-2</v>
      </c>
      <c r="Z14" s="151">
        <v>0.88500000000000001</v>
      </c>
      <c r="AA14" s="147">
        <f>Z14*$F$14</f>
        <v>4.4250000000000005E-2</v>
      </c>
      <c r="AB14" s="161">
        <f>AVERAGE(Y14,AA14)</f>
        <v>4.4125000000000004E-2</v>
      </c>
      <c r="AC14" s="233" t="s">
        <v>350</v>
      </c>
      <c r="AD14" s="10" t="s">
        <v>38</v>
      </c>
    </row>
    <row r="15" spans="1:30" ht="168" customHeight="1" thickTop="1" thickBot="1" x14ac:dyDescent="0.35">
      <c r="A15" s="388"/>
      <c r="B15" s="341"/>
      <c r="C15" s="30" t="s">
        <v>200</v>
      </c>
      <c r="D15" s="20">
        <v>0.05</v>
      </c>
      <c r="E15" s="10" t="s">
        <v>213</v>
      </c>
      <c r="F15" s="20">
        <v>0.05</v>
      </c>
      <c r="G15" s="33" t="s">
        <v>214</v>
      </c>
      <c r="H15" s="19" t="s">
        <v>43</v>
      </c>
      <c r="I15" s="43">
        <v>0.5222</v>
      </c>
      <c r="J15" s="48">
        <f>I15*$F$15</f>
        <v>2.6110000000000001E-2</v>
      </c>
      <c r="K15" s="46" t="s">
        <v>351</v>
      </c>
      <c r="L15" s="43">
        <v>0.625</v>
      </c>
      <c r="M15" s="48">
        <f>L15*$F$15</f>
        <v>3.125E-2</v>
      </c>
      <c r="N15" s="43">
        <v>0.61109999999999998</v>
      </c>
      <c r="O15" s="48">
        <f>N15*$F$15</f>
        <v>3.0554999999999999E-2</v>
      </c>
      <c r="P15" s="48">
        <f t="shared" si="0"/>
        <v>3.0902499999999999E-2</v>
      </c>
      <c r="Q15" s="71" t="s">
        <v>352</v>
      </c>
      <c r="R15" s="43">
        <v>0.1244</v>
      </c>
      <c r="S15" s="48">
        <f>R15*$F$15</f>
        <v>6.2199999999999998E-3</v>
      </c>
      <c r="T15" s="43">
        <v>0</v>
      </c>
      <c r="U15" s="48">
        <f>T15*$F$15</f>
        <v>0</v>
      </c>
      <c r="V15" s="165">
        <f>AVERAGE(S15,U15)</f>
        <v>3.1099999999999999E-3</v>
      </c>
      <c r="W15" s="248" t="s">
        <v>217</v>
      </c>
      <c r="X15" s="182">
        <v>0</v>
      </c>
      <c r="Y15" s="147">
        <f>X15*$F$15</f>
        <v>0</v>
      </c>
      <c r="Z15" s="151">
        <v>0</v>
      </c>
      <c r="AA15" s="147">
        <f>Z15*$F$15</f>
        <v>0</v>
      </c>
      <c r="AB15" s="161">
        <f>AVERAGE(Y15,AA15)</f>
        <v>0</v>
      </c>
      <c r="AC15" s="234" t="s">
        <v>217</v>
      </c>
      <c r="AD15" s="10" t="s">
        <v>38</v>
      </c>
    </row>
    <row r="16" spans="1:30" ht="70.2" customHeight="1" thickTop="1" thickBot="1" x14ac:dyDescent="0.35">
      <c r="A16" s="388"/>
      <c r="B16" s="341"/>
      <c r="C16" s="30" t="s">
        <v>135</v>
      </c>
      <c r="D16" s="20">
        <v>0.05</v>
      </c>
      <c r="E16" s="10" t="s">
        <v>136</v>
      </c>
      <c r="F16" s="20">
        <v>0.05</v>
      </c>
      <c r="G16" s="32" t="s">
        <v>137</v>
      </c>
      <c r="H16" s="19" t="s">
        <v>43</v>
      </c>
      <c r="I16" s="43">
        <v>0.37</v>
      </c>
      <c r="J16" s="48">
        <f>I16*$F$16</f>
        <v>1.8499999999999999E-2</v>
      </c>
      <c r="K16" s="47" t="s">
        <v>218</v>
      </c>
      <c r="L16" s="43">
        <v>0.55000000000000004</v>
      </c>
      <c r="M16" s="48">
        <f>L16*$F$16</f>
        <v>2.7500000000000004E-2</v>
      </c>
      <c r="N16" s="43">
        <v>0.55000000000000004</v>
      </c>
      <c r="O16" s="48">
        <f>N16*$F$16</f>
        <v>2.7500000000000004E-2</v>
      </c>
      <c r="P16" s="48">
        <f t="shared" si="0"/>
        <v>2.7500000000000004E-2</v>
      </c>
      <c r="Q16" s="78" t="s">
        <v>175</v>
      </c>
      <c r="R16" s="420">
        <v>0.55000000000000004</v>
      </c>
      <c r="S16" s="364"/>
      <c r="T16" s="364"/>
      <c r="U16" s="365"/>
      <c r="V16" s="165">
        <f>R16*D16</f>
        <v>2.7500000000000004E-2</v>
      </c>
      <c r="W16" s="227" t="s">
        <v>219</v>
      </c>
      <c r="X16" s="430">
        <v>0.6</v>
      </c>
      <c r="Y16" s="353"/>
      <c r="Z16" s="353"/>
      <c r="AA16" s="354"/>
      <c r="AB16" s="202">
        <f>X16*D16</f>
        <v>0.03</v>
      </c>
      <c r="AC16" s="241" t="s">
        <v>353</v>
      </c>
      <c r="AD16" s="10" t="s">
        <v>82</v>
      </c>
    </row>
    <row r="17" spans="1:30" ht="46.95" customHeight="1" thickTop="1" thickBot="1" x14ac:dyDescent="0.35">
      <c r="A17" s="388"/>
      <c r="B17" s="341"/>
      <c r="C17" s="29" t="s">
        <v>142</v>
      </c>
      <c r="D17" s="22">
        <v>0.05</v>
      </c>
      <c r="E17" s="12" t="s">
        <v>143</v>
      </c>
      <c r="F17" s="22">
        <v>0.05</v>
      </c>
      <c r="G17" s="34" t="s">
        <v>144</v>
      </c>
      <c r="H17" s="21" t="s">
        <v>43</v>
      </c>
      <c r="I17" s="43">
        <v>1</v>
      </c>
      <c r="J17" s="48">
        <f>I17*$F$17</f>
        <v>0.05</v>
      </c>
      <c r="K17" s="47" t="s">
        <v>354</v>
      </c>
      <c r="L17" s="43">
        <v>1</v>
      </c>
      <c r="M17" s="48">
        <f>L17*$F$17</f>
        <v>0.05</v>
      </c>
      <c r="N17" s="43"/>
      <c r="O17" s="48">
        <f>N17*$F$17</f>
        <v>0</v>
      </c>
      <c r="P17" s="48">
        <f t="shared" si="0"/>
        <v>2.5000000000000001E-2</v>
      </c>
      <c r="Q17" s="78" t="s">
        <v>178</v>
      </c>
      <c r="R17" s="43">
        <v>1</v>
      </c>
      <c r="S17" s="48">
        <f>R17*$F$17</f>
        <v>0.05</v>
      </c>
      <c r="T17" s="43">
        <v>1</v>
      </c>
      <c r="U17" s="48">
        <f>T17*$F$17</f>
        <v>0.05</v>
      </c>
      <c r="V17" s="165">
        <f>AVERAGE(S17,U17)</f>
        <v>0.05</v>
      </c>
      <c r="W17" s="227" t="s">
        <v>355</v>
      </c>
      <c r="X17" s="201">
        <v>1</v>
      </c>
      <c r="Y17" s="48">
        <f>X17*$F$17</f>
        <v>0.05</v>
      </c>
      <c r="Z17" s="43">
        <v>1</v>
      </c>
      <c r="AA17" s="48">
        <f>Z17*$F$17</f>
        <v>0.05</v>
      </c>
      <c r="AB17" s="165">
        <f>AVERAGE(Y17,AA17)</f>
        <v>0.05</v>
      </c>
      <c r="AC17" s="241" t="s">
        <v>355</v>
      </c>
      <c r="AD17" s="12" t="s">
        <v>38</v>
      </c>
    </row>
    <row r="18" spans="1:30" ht="128.4" customHeight="1" thickTop="1" thickBot="1" x14ac:dyDescent="0.35">
      <c r="A18" s="388"/>
      <c r="B18" s="341"/>
      <c r="C18" s="30" t="s">
        <v>60</v>
      </c>
      <c r="D18" s="20">
        <v>0.03</v>
      </c>
      <c r="E18" s="10" t="s">
        <v>61</v>
      </c>
      <c r="F18" s="20">
        <v>0.03</v>
      </c>
      <c r="G18" s="32" t="s">
        <v>62</v>
      </c>
      <c r="H18" s="19" t="s">
        <v>43</v>
      </c>
      <c r="I18" s="43">
        <v>1</v>
      </c>
      <c r="J18" s="48">
        <f>I18*$F$18</f>
        <v>0.03</v>
      </c>
      <c r="K18" s="46" t="s">
        <v>356</v>
      </c>
      <c r="L18" s="43">
        <v>1</v>
      </c>
      <c r="M18" s="48">
        <f>L18*$F$18</f>
        <v>0.03</v>
      </c>
      <c r="N18" s="43">
        <v>1</v>
      </c>
      <c r="O18" s="48">
        <f>N18*$F$18</f>
        <v>0.03</v>
      </c>
      <c r="P18" s="48">
        <f t="shared" si="0"/>
        <v>0.03</v>
      </c>
      <c r="Q18" s="272" t="s">
        <v>180</v>
      </c>
      <c r="R18" s="43">
        <v>0.85719999999999996</v>
      </c>
      <c r="S18" s="48">
        <f>R18*$F$18</f>
        <v>2.5715999999999999E-2</v>
      </c>
      <c r="T18" s="43">
        <v>0.85719999999999996</v>
      </c>
      <c r="U18" s="48">
        <f>T18*$F$18</f>
        <v>2.5715999999999999E-2</v>
      </c>
      <c r="V18" s="165">
        <f>AVERAGE(S18,U18)</f>
        <v>2.5715999999999999E-2</v>
      </c>
      <c r="W18" s="248" t="s">
        <v>357</v>
      </c>
      <c r="X18" s="201">
        <v>0.85719999999999996</v>
      </c>
      <c r="Y18" s="48">
        <f>X18*$F$18</f>
        <v>2.5715999999999999E-2</v>
      </c>
      <c r="Z18" s="43">
        <v>0.85719999999999996</v>
      </c>
      <c r="AA18" s="48">
        <f>Z18*$F$18</f>
        <v>2.5715999999999999E-2</v>
      </c>
      <c r="AB18" s="165">
        <f>AVERAGE(Y18,AA18)</f>
        <v>2.5715999999999999E-2</v>
      </c>
      <c r="AC18" s="248" t="s">
        <v>357</v>
      </c>
      <c r="AD18" s="10" t="s">
        <v>38</v>
      </c>
    </row>
    <row r="19" spans="1:30" ht="160.5" customHeight="1" thickTop="1" thickBot="1" x14ac:dyDescent="0.35">
      <c r="A19" s="389"/>
      <c r="B19" s="389"/>
      <c r="C19" s="31" t="s">
        <v>67</v>
      </c>
      <c r="D19" s="17">
        <v>0.02</v>
      </c>
      <c r="E19" s="18" t="s">
        <v>68</v>
      </c>
      <c r="F19" s="17">
        <v>0.02</v>
      </c>
      <c r="G19" s="35" t="s">
        <v>69</v>
      </c>
      <c r="H19" s="4" t="s">
        <v>43</v>
      </c>
      <c r="I19" s="43">
        <v>0.20449999999999999</v>
      </c>
      <c r="J19" s="48">
        <f>I19*$F$19</f>
        <v>4.0899999999999999E-3</v>
      </c>
      <c r="K19" s="46" t="s">
        <v>358</v>
      </c>
      <c r="L19" s="43">
        <v>0.375</v>
      </c>
      <c r="M19" s="48">
        <f>L19*$F$19</f>
        <v>7.4999999999999997E-3</v>
      </c>
      <c r="N19" s="43">
        <v>0.36840000000000001</v>
      </c>
      <c r="O19" s="48">
        <f>N19*$F$19</f>
        <v>7.3680000000000004E-3</v>
      </c>
      <c r="P19" s="48">
        <f t="shared" si="0"/>
        <v>7.4339999999999996E-3</v>
      </c>
      <c r="Q19" s="189" t="s">
        <v>359</v>
      </c>
      <c r="R19" s="43">
        <v>0.25490000000000002</v>
      </c>
      <c r="S19" s="48">
        <f>R19*$F$19</f>
        <v>5.0980000000000001E-3</v>
      </c>
      <c r="T19" s="43">
        <v>0.25490000000000002</v>
      </c>
      <c r="U19" s="48">
        <f>T19*$F$19</f>
        <v>5.0980000000000001E-3</v>
      </c>
      <c r="V19" s="165">
        <f>AVERAGE(S19,U19)</f>
        <v>5.0980000000000001E-3</v>
      </c>
      <c r="W19" s="256" t="s">
        <v>360</v>
      </c>
      <c r="X19" s="221">
        <v>0.26</v>
      </c>
      <c r="Y19" s="200">
        <f>F19*X19</f>
        <v>5.2000000000000006E-3</v>
      </c>
      <c r="Z19" s="211">
        <v>0.26</v>
      </c>
      <c r="AA19" s="200">
        <f>Z19*$F$19</f>
        <v>5.2000000000000006E-3</v>
      </c>
      <c r="AB19" s="165">
        <f>AVERAGE(Y19,AA19)</f>
        <v>5.2000000000000006E-3</v>
      </c>
      <c r="AC19" s="256" t="s">
        <v>361</v>
      </c>
      <c r="AD19" s="18" t="s">
        <v>38</v>
      </c>
    </row>
    <row r="20" spans="1:30" ht="130.19999999999999" customHeight="1" thickTop="1" x14ac:dyDescent="0.3">
      <c r="A20" s="422" t="s">
        <v>74</v>
      </c>
      <c r="B20" s="414">
        <v>0.25</v>
      </c>
      <c r="C20" s="390" t="s">
        <v>75</v>
      </c>
      <c r="D20" s="416">
        <f>B20</f>
        <v>0.25</v>
      </c>
      <c r="E20" s="14" t="s">
        <v>76</v>
      </c>
      <c r="F20" s="16">
        <f>D20*0.8</f>
        <v>0.2</v>
      </c>
      <c r="G20" s="36" t="s">
        <v>77</v>
      </c>
      <c r="H20" s="13" t="s">
        <v>43</v>
      </c>
      <c r="I20" s="43">
        <v>0.30759999999999998</v>
      </c>
      <c r="J20" s="48">
        <f>I20*$F$20</f>
        <v>6.1519999999999998E-2</v>
      </c>
      <c r="K20" s="62" t="s">
        <v>362</v>
      </c>
      <c r="L20" s="43">
        <v>0.85709999999999997</v>
      </c>
      <c r="M20" s="48">
        <f>L20*$F$20</f>
        <v>0.17142000000000002</v>
      </c>
      <c r="N20" s="43">
        <v>1</v>
      </c>
      <c r="O20" s="48">
        <f>N20*$F$20</f>
        <v>0.2</v>
      </c>
      <c r="P20" s="48">
        <f t="shared" si="0"/>
        <v>0.18571000000000001</v>
      </c>
      <c r="Q20" s="446" t="s">
        <v>363</v>
      </c>
      <c r="R20" s="359">
        <v>0.57140000000000002</v>
      </c>
      <c r="S20" s="364"/>
      <c r="T20" s="364"/>
      <c r="U20" s="365"/>
      <c r="V20" s="165">
        <f>R20*F20</f>
        <v>0.11428000000000001</v>
      </c>
      <c r="W20" s="415" t="s">
        <v>364</v>
      </c>
      <c r="X20" s="373">
        <v>0.8</v>
      </c>
      <c r="Y20" s="374"/>
      <c r="Z20" s="374"/>
      <c r="AA20" s="375"/>
      <c r="AB20" s="292">
        <f>X20*F20</f>
        <v>0.16000000000000003</v>
      </c>
      <c r="AC20" s="465" t="s">
        <v>365</v>
      </c>
      <c r="AD20" s="14" t="s">
        <v>82</v>
      </c>
    </row>
    <row r="21" spans="1:30" ht="130.19999999999999" customHeight="1" thickBot="1" x14ac:dyDescent="0.35">
      <c r="A21" s="389"/>
      <c r="B21" s="389"/>
      <c r="C21" s="389"/>
      <c r="D21" s="389"/>
      <c r="E21" s="12" t="s">
        <v>83</v>
      </c>
      <c r="F21" s="15">
        <f>D20*0.2</f>
        <v>0.05</v>
      </c>
      <c r="G21" s="34" t="s">
        <v>84</v>
      </c>
      <c r="H21" s="11" t="s">
        <v>43</v>
      </c>
      <c r="I21" s="43">
        <v>0</v>
      </c>
      <c r="J21" s="48">
        <f>I21*$F$21</f>
        <v>0</v>
      </c>
      <c r="K21" s="62" t="s">
        <v>366</v>
      </c>
      <c r="L21" s="43">
        <v>0.57140000000000002</v>
      </c>
      <c r="M21" s="48">
        <f>L21*$F$21</f>
        <v>2.8570000000000002E-2</v>
      </c>
      <c r="N21" s="43">
        <v>0.16669999999999999</v>
      </c>
      <c r="O21" s="48">
        <f>N21*$F$21</f>
        <v>8.3350000000000004E-3</v>
      </c>
      <c r="P21" s="48">
        <f t="shared" si="0"/>
        <v>1.84525E-2</v>
      </c>
      <c r="Q21" s="332"/>
      <c r="R21" s="359">
        <v>1</v>
      </c>
      <c r="S21" s="364"/>
      <c r="T21" s="364"/>
      <c r="U21" s="365"/>
      <c r="V21" s="165">
        <f>R21*F21</f>
        <v>0.05</v>
      </c>
      <c r="W21" s="362"/>
      <c r="X21" s="462">
        <v>1</v>
      </c>
      <c r="Y21" s="463"/>
      <c r="Z21" s="463"/>
      <c r="AA21" s="464"/>
      <c r="AB21" s="165">
        <f>X21*F21</f>
        <v>0.05</v>
      </c>
      <c r="AC21" s="362"/>
      <c r="AD21" s="12" t="s">
        <v>82</v>
      </c>
    </row>
    <row r="22" spans="1:30" ht="66" customHeight="1" thickTop="1" x14ac:dyDescent="0.3">
      <c r="A22" s="422" t="s">
        <v>86</v>
      </c>
      <c r="B22" s="414">
        <v>0.3</v>
      </c>
      <c r="C22" s="390" t="s">
        <v>87</v>
      </c>
      <c r="D22" s="416">
        <f>$B$22/2</f>
        <v>0.15</v>
      </c>
      <c r="E22" s="393" t="s">
        <v>88</v>
      </c>
      <c r="F22" s="416">
        <f>$B$22/2</f>
        <v>0.15</v>
      </c>
      <c r="G22" s="38" t="s">
        <v>89</v>
      </c>
      <c r="H22" s="13">
        <v>1</v>
      </c>
      <c r="I22" s="359">
        <v>1</v>
      </c>
      <c r="J22" s="368">
        <f>I22*$F$22</f>
        <v>0.15</v>
      </c>
      <c r="K22" s="412" t="s">
        <v>300</v>
      </c>
      <c r="L22" s="359">
        <v>1</v>
      </c>
      <c r="M22" s="346"/>
      <c r="N22" s="346"/>
      <c r="O22" s="396"/>
      <c r="P22" s="368">
        <f>L22*$F22</f>
        <v>0.15</v>
      </c>
      <c r="Q22" s="369" t="s">
        <v>91</v>
      </c>
      <c r="R22" s="359">
        <v>1</v>
      </c>
      <c r="S22" s="346"/>
      <c r="T22" s="346"/>
      <c r="U22" s="396"/>
      <c r="V22" s="386">
        <f>R22*$F22</f>
        <v>0.15</v>
      </c>
      <c r="W22" s="460" t="s">
        <v>92</v>
      </c>
      <c r="X22" s="423">
        <v>1</v>
      </c>
      <c r="Y22" s="346"/>
      <c r="Z22" s="346"/>
      <c r="AA22" s="396"/>
      <c r="AB22" s="386">
        <f>X22*$F22</f>
        <v>0.15</v>
      </c>
      <c r="AC22" s="399" t="s">
        <v>92</v>
      </c>
      <c r="AD22" s="393" t="s">
        <v>93</v>
      </c>
    </row>
    <row r="23" spans="1:30" ht="66" customHeight="1" thickBot="1" x14ac:dyDescent="0.35">
      <c r="A23" s="388"/>
      <c r="B23" s="341"/>
      <c r="C23" s="389"/>
      <c r="D23" s="389"/>
      <c r="E23" s="389"/>
      <c r="F23" s="389"/>
      <c r="G23" s="39" t="s">
        <v>94</v>
      </c>
      <c r="H23" s="11">
        <v>0</v>
      </c>
      <c r="I23" s="332"/>
      <c r="J23" s="332"/>
      <c r="K23" s="332"/>
      <c r="L23" s="334"/>
      <c r="M23" s="353"/>
      <c r="N23" s="353"/>
      <c r="O23" s="354"/>
      <c r="P23" s="332"/>
      <c r="Q23" s="332"/>
      <c r="R23" s="334"/>
      <c r="S23" s="353"/>
      <c r="T23" s="353"/>
      <c r="U23" s="354"/>
      <c r="V23" s="334"/>
      <c r="W23" s="362"/>
      <c r="X23" s="353"/>
      <c r="Y23" s="353"/>
      <c r="Z23" s="353"/>
      <c r="AA23" s="354"/>
      <c r="AB23" s="334"/>
      <c r="AC23" s="362"/>
      <c r="AD23" s="389"/>
    </row>
    <row r="24" spans="1:30" ht="82.2" customHeight="1" thickTop="1" thickBot="1" x14ac:dyDescent="0.35">
      <c r="A24" s="389"/>
      <c r="B24" s="389"/>
      <c r="C24" s="37" t="s">
        <v>95</v>
      </c>
      <c r="D24" s="8">
        <v>0.15</v>
      </c>
      <c r="E24" s="9" t="s">
        <v>96</v>
      </c>
      <c r="F24" s="8">
        <v>0.15</v>
      </c>
      <c r="G24" s="32" t="s">
        <v>97</v>
      </c>
      <c r="H24" s="8">
        <v>1</v>
      </c>
      <c r="I24" s="43">
        <v>0.19500000000000001</v>
      </c>
      <c r="J24" s="48">
        <f>I24*$F$24</f>
        <v>2.9249999999999998E-2</v>
      </c>
      <c r="K24" s="47" t="s">
        <v>367</v>
      </c>
      <c r="L24" s="359">
        <v>0.53269999999999995</v>
      </c>
      <c r="M24" s="364"/>
      <c r="N24" s="364"/>
      <c r="O24" s="365"/>
      <c r="P24" s="48">
        <f>L24*$F24</f>
        <v>7.990499999999999E-2</v>
      </c>
      <c r="Q24" s="78" t="s">
        <v>368</v>
      </c>
      <c r="R24" s="359">
        <v>0.55689999999999995</v>
      </c>
      <c r="S24" s="364"/>
      <c r="T24" s="364"/>
      <c r="U24" s="365"/>
      <c r="V24" s="165">
        <f>R24*$F24</f>
        <v>8.3534999999999984E-2</v>
      </c>
      <c r="W24" s="326" t="s">
        <v>369</v>
      </c>
      <c r="X24" s="423">
        <v>0.87549999999999994</v>
      </c>
      <c r="Y24" s="364"/>
      <c r="Z24" s="364"/>
      <c r="AA24" s="365"/>
      <c r="AB24" s="165">
        <f>X24*$F24</f>
        <v>0.131325</v>
      </c>
      <c r="AC24" s="237" t="s">
        <v>370</v>
      </c>
      <c r="AD24" s="10" t="s">
        <v>93</v>
      </c>
    </row>
    <row r="25" spans="1:30" ht="26.7" customHeight="1" thickTop="1" x14ac:dyDescent="0.3">
      <c r="I25" s="7" t="s">
        <v>102</v>
      </c>
      <c r="J25" s="6">
        <f>SUM(J2:J24)</f>
        <v>0.52947</v>
      </c>
      <c r="O25" s="7" t="s">
        <v>102</v>
      </c>
      <c r="P25" s="6">
        <f>SUM(P2:P24)</f>
        <v>0.78215400000000002</v>
      </c>
      <c r="Q25" s="88"/>
      <c r="U25" s="7" t="s">
        <v>102</v>
      </c>
      <c r="V25" s="65">
        <f>SUM(V2:V24)</f>
        <v>0.70355816666666671</v>
      </c>
      <c r="W25" s="88"/>
      <c r="AA25" s="7" t="s">
        <v>102</v>
      </c>
      <c r="AB25" s="65">
        <f>SUM(AB2:AB24)</f>
        <v>0.80851600000000012</v>
      </c>
    </row>
    <row r="26" spans="1:30" ht="26.7" customHeight="1" x14ac:dyDescent="0.4">
      <c r="Q26" s="88"/>
    </row>
  </sheetData>
  <mergeCells count="117">
    <mergeCell ref="B22:B24"/>
    <mergeCell ref="B2:B13"/>
    <mergeCell ref="U2:U4"/>
    <mergeCell ref="L22:O23"/>
    <mergeCell ref="C2:C5"/>
    <mergeCell ref="X21:AA21"/>
    <mergeCell ref="R2:R4"/>
    <mergeCell ref="O6:O8"/>
    <mergeCell ref="U6:U8"/>
    <mergeCell ref="X16:AA16"/>
    <mergeCell ref="J10:J12"/>
    <mergeCell ref="B20:B21"/>
    <mergeCell ref="L24:O24"/>
    <mergeCell ref="R24:U24"/>
    <mergeCell ref="X24:AA24"/>
    <mergeCell ref="T6:T8"/>
    <mergeCell ref="P22:P23"/>
    <mergeCell ref="Q6:Q8"/>
    <mergeCell ref="T2:T4"/>
    <mergeCell ref="Z10:Z12"/>
    <mergeCell ref="N6:N8"/>
    <mergeCell ref="A20:A21"/>
    <mergeCell ref="J22:J23"/>
    <mergeCell ref="X22:AA23"/>
    <mergeCell ref="P6:P8"/>
    <mergeCell ref="S2:S4"/>
    <mergeCell ref="AA10:AA12"/>
    <mergeCell ref="V22:V23"/>
    <mergeCell ref="M6:M8"/>
    <mergeCell ref="R21:U21"/>
    <mergeCell ref="V6:V8"/>
    <mergeCell ref="Y2:Y4"/>
    <mergeCell ref="A14:A19"/>
    <mergeCell ref="X20:AA20"/>
    <mergeCell ref="Y6:Y8"/>
    <mergeCell ref="C20:C21"/>
    <mergeCell ref="W2:W4"/>
    <mergeCell ref="O2:O4"/>
    <mergeCell ref="Q20:Q21"/>
    <mergeCell ref="Q2:Q4"/>
    <mergeCell ref="A22:A24"/>
    <mergeCell ref="C22:C23"/>
    <mergeCell ref="I6:I8"/>
    <mergeCell ref="K6:K8"/>
    <mergeCell ref="Q22:Q23"/>
    <mergeCell ref="I2:I4"/>
    <mergeCell ref="R22:U23"/>
    <mergeCell ref="R16:U16"/>
    <mergeCell ref="AA6:AA8"/>
    <mergeCell ref="J6:J8"/>
    <mergeCell ref="M10:M12"/>
    <mergeCell ref="AD22:AD23"/>
    <mergeCell ref="X6:X8"/>
    <mergeCell ref="E10:E12"/>
    <mergeCell ref="Y10:Y12"/>
    <mergeCell ref="Q10:Q12"/>
    <mergeCell ref="S10:S12"/>
    <mergeCell ref="I10:I12"/>
    <mergeCell ref="V2:V4"/>
    <mergeCell ref="X2:X4"/>
    <mergeCell ref="U10:U12"/>
    <mergeCell ref="W10:W12"/>
    <mergeCell ref="AB22:AB23"/>
    <mergeCell ref="AC6:AC8"/>
    <mergeCell ref="AB10:AB12"/>
    <mergeCell ref="AB6:AB8"/>
    <mergeCell ref="AC10:AC12"/>
    <mergeCell ref="AC20:AC21"/>
    <mergeCell ref="AC22:AC23"/>
    <mergeCell ref="AD10:AD12"/>
    <mergeCell ref="D20:D21"/>
    <mergeCell ref="R6:R8"/>
    <mergeCell ref="T10:T12"/>
    <mergeCell ref="V10:V12"/>
    <mergeCell ref="AD6:AD8"/>
    <mergeCell ref="F2:F4"/>
    <mergeCell ref="R20:U20"/>
    <mergeCell ref="Z2:Z4"/>
    <mergeCell ref="AB2:AB4"/>
    <mergeCell ref="E2:E4"/>
    <mergeCell ref="AA2:AA4"/>
    <mergeCell ref="Z6:Z8"/>
    <mergeCell ref="AC2:AC4"/>
    <mergeCell ref="AD2:AD4"/>
    <mergeCell ref="D10:D13"/>
    <mergeCell ref="S6:S8"/>
    <mergeCell ref="L10:L12"/>
    <mergeCell ref="N10:N12"/>
    <mergeCell ref="X10:X12"/>
    <mergeCell ref="D2:D5"/>
    <mergeCell ref="K10:K12"/>
    <mergeCell ref="J2:J4"/>
    <mergeCell ref="L2:L4"/>
    <mergeCell ref="A2:A13"/>
    <mergeCell ref="K2:K4"/>
    <mergeCell ref="D6:D9"/>
    <mergeCell ref="W20:W21"/>
    <mergeCell ref="C10:C13"/>
    <mergeCell ref="I22:I23"/>
    <mergeCell ref="K22:K23"/>
    <mergeCell ref="L6:L8"/>
    <mergeCell ref="F10:F12"/>
    <mergeCell ref="W22:W23"/>
    <mergeCell ref="O10:O12"/>
    <mergeCell ref="B14:B19"/>
    <mergeCell ref="W6:W8"/>
    <mergeCell ref="P10:P12"/>
    <mergeCell ref="M2:M4"/>
    <mergeCell ref="R10:R12"/>
    <mergeCell ref="P2:P4"/>
    <mergeCell ref="E6:E8"/>
    <mergeCell ref="E22:E23"/>
    <mergeCell ref="N2:N4"/>
    <mergeCell ref="C6:C9"/>
    <mergeCell ref="D22:D23"/>
    <mergeCell ref="F22:F23"/>
    <mergeCell ref="F6:F8"/>
  </mergeCells>
  <printOptions horizontalCentered="1"/>
  <pageMargins left="0.23622047244094491" right="0.23622047244094491" top="0.74803149606299213" bottom="0.74803149606299213" header="0.31496062992125978" footer="0.31496062992125978"/>
  <pageSetup scale="44" fitToHeight="0" orientation="landscape"/>
  <rowBreaks count="1" manualBreakCount="1">
    <brk id="19" max="16383"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4">
    <tabColor theme="7" tint="0.39997558519241921"/>
  </sheetPr>
  <dimension ref="A1:AD26"/>
  <sheetViews>
    <sheetView topLeftCell="L12" zoomScale="50" zoomScaleNormal="50" zoomScaleSheetLayoutView="70" workbookViewId="0">
      <selection activeCell="V14" sqref="V14:V19"/>
    </sheetView>
  </sheetViews>
  <sheetFormatPr baseColWidth="10" defaultColWidth="11.44140625" defaultRowHeight="15.6" x14ac:dyDescent="0.3"/>
  <cols>
    <col min="1" max="1" width="20.6640625" style="97" customWidth="1"/>
    <col min="2" max="2" width="9.109375" style="66" customWidth="1"/>
    <col min="3" max="3" width="19.6640625" style="88" customWidth="1"/>
    <col min="4" max="4" width="8.5546875" style="66" customWidth="1"/>
    <col min="5" max="5" width="40.6640625" style="98" customWidth="1"/>
    <col min="6" max="6" width="8" style="66" customWidth="1"/>
    <col min="7" max="7" width="59.109375" style="66" customWidth="1"/>
    <col min="8" max="8" width="10.109375" style="66" customWidth="1"/>
    <col min="9" max="9" width="25.6640625" style="99" customWidth="1"/>
    <col min="10" max="10" width="25.6640625" style="98" customWidth="1"/>
    <col min="11" max="11" width="94" customWidth="1"/>
    <col min="12" max="16" width="18.33203125" customWidth="1"/>
    <col min="17" max="17" width="90.44140625" style="168" customWidth="1"/>
    <col min="18" max="18" width="15" customWidth="1"/>
    <col min="19" max="19" width="17.44140625" customWidth="1"/>
    <col min="20" max="20" width="15" customWidth="1"/>
    <col min="21" max="21" width="16.5546875" customWidth="1"/>
    <col min="22" max="22" width="15" customWidth="1"/>
    <col min="23" max="23" width="79.5546875" customWidth="1"/>
    <col min="24" max="27" width="16.88671875" customWidth="1"/>
    <col min="28" max="28" width="15.6640625" customWidth="1"/>
    <col min="29" max="29" width="85.6640625" customWidth="1"/>
    <col min="30" max="30" width="39.44140625" customWidth="1"/>
  </cols>
  <sheetData>
    <row r="1" spans="1:30" s="100" customFormat="1" ht="51.45" customHeight="1" thickTop="1" thickBot="1" x14ac:dyDescent="0.35">
      <c r="A1" s="153" t="s">
        <v>0</v>
      </c>
      <c r="B1" s="153" t="s">
        <v>1</v>
      </c>
      <c r="C1" s="153" t="s">
        <v>2</v>
      </c>
      <c r="D1" s="153" t="s">
        <v>3</v>
      </c>
      <c r="E1" s="153" t="s">
        <v>4</v>
      </c>
      <c r="F1" s="153" t="s">
        <v>5</v>
      </c>
      <c r="G1" s="153" t="s">
        <v>6</v>
      </c>
      <c r="H1" s="153" t="s">
        <v>7</v>
      </c>
      <c r="I1" s="153" t="s">
        <v>8</v>
      </c>
      <c r="J1" s="153" t="s">
        <v>9</v>
      </c>
      <c r="K1" s="160" t="s">
        <v>10</v>
      </c>
      <c r="L1" s="153" t="s">
        <v>11</v>
      </c>
      <c r="M1" s="153" t="s">
        <v>12</v>
      </c>
      <c r="N1" s="153" t="s">
        <v>13</v>
      </c>
      <c r="O1" s="153" t="s">
        <v>14</v>
      </c>
      <c r="P1" s="153" t="s">
        <v>15</v>
      </c>
      <c r="Q1" s="160" t="s">
        <v>16</v>
      </c>
      <c r="R1" s="153" t="s">
        <v>17</v>
      </c>
      <c r="S1" s="153" t="s">
        <v>18</v>
      </c>
      <c r="T1" s="153" t="s">
        <v>19</v>
      </c>
      <c r="U1" s="153" t="s">
        <v>20</v>
      </c>
      <c r="V1" s="153" t="s">
        <v>21</v>
      </c>
      <c r="W1" s="160" t="s">
        <v>22</v>
      </c>
      <c r="X1" s="153" t="s">
        <v>23</v>
      </c>
      <c r="Y1" s="153" t="s">
        <v>24</v>
      </c>
      <c r="Z1" s="153" t="s">
        <v>25</v>
      </c>
      <c r="AA1" s="153" t="s">
        <v>26</v>
      </c>
      <c r="AB1" s="153" t="s">
        <v>27</v>
      </c>
      <c r="AC1" s="160" t="s">
        <v>28</v>
      </c>
      <c r="AD1" s="28" t="s">
        <v>29</v>
      </c>
    </row>
    <row r="2" spans="1:30" ht="18.600000000000001" customHeight="1" thickTop="1" thickBot="1" x14ac:dyDescent="0.35">
      <c r="A2" s="387" t="s">
        <v>30</v>
      </c>
      <c r="B2" s="394">
        <v>0.2</v>
      </c>
      <c r="C2" s="391" t="s">
        <v>31</v>
      </c>
      <c r="D2" s="398">
        <f>$B$2/3</f>
        <v>6.6666666666666666E-2</v>
      </c>
      <c r="E2" s="393" t="s">
        <v>32</v>
      </c>
      <c r="F2" s="395">
        <f>$B$2/6</f>
        <v>3.3333333333333333E-2</v>
      </c>
      <c r="G2" s="67" t="s">
        <v>33</v>
      </c>
      <c r="H2" s="68">
        <v>1</v>
      </c>
      <c r="I2" s="335">
        <v>1</v>
      </c>
      <c r="J2" s="331">
        <f>I2*$F$2</f>
        <v>3.3333333333333333E-2</v>
      </c>
      <c r="K2" s="412" t="s">
        <v>371</v>
      </c>
      <c r="L2" s="359">
        <v>1</v>
      </c>
      <c r="M2" s="368">
        <f>L2*$F$2</f>
        <v>3.3333333333333333E-2</v>
      </c>
      <c r="N2" s="359">
        <v>1</v>
      </c>
      <c r="O2" s="368">
        <f>N2*$F$2</f>
        <v>3.3333333333333333E-2</v>
      </c>
      <c r="P2" s="368">
        <f>AVERAGE(M2,O2)</f>
        <v>3.3333333333333333E-2</v>
      </c>
      <c r="Q2" s="369" t="s">
        <v>123</v>
      </c>
      <c r="R2" s="359">
        <v>1</v>
      </c>
      <c r="S2" s="368">
        <f>R2*$F$2</f>
        <v>3.3333333333333333E-2</v>
      </c>
      <c r="T2" s="359">
        <v>1</v>
      </c>
      <c r="U2" s="368">
        <f>T2*$F$2</f>
        <v>3.3333333333333333E-2</v>
      </c>
      <c r="V2" s="467">
        <f>AVERAGE(S2,U2)</f>
        <v>3.3333333333333333E-2</v>
      </c>
      <c r="W2" s="407" t="s">
        <v>123</v>
      </c>
      <c r="X2" s="351">
        <v>1</v>
      </c>
      <c r="Y2" s="358">
        <f>X2*$F$2</f>
        <v>3.3333333333333333E-2</v>
      </c>
      <c r="Z2" s="349">
        <v>1</v>
      </c>
      <c r="AA2" s="358">
        <f>Z2*$F$2</f>
        <v>3.3333333333333333E-2</v>
      </c>
      <c r="AB2" s="350">
        <f>AVERAGE(Y2,AA2)</f>
        <v>3.3333333333333333E-2</v>
      </c>
      <c r="AC2" s="469" t="s">
        <v>123</v>
      </c>
      <c r="AD2" s="393" t="s">
        <v>38</v>
      </c>
    </row>
    <row r="3" spans="1:30" ht="18.600000000000001" customHeight="1" thickTop="1" thickBot="1" x14ac:dyDescent="0.35">
      <c r="A3" s="330"/>
      <c r="B3" s="343"/>
      <c r="C3" s="338"/>
      <c r="D3" s="343"/>
      <c r="E3" s="355"/>
      <c r="F3" s="343"/>
      <c r="G3" s="67" t="s">
        <v>39</v>
      </c>
      <c r="H3" s="73">
        <v>0.8</v>
      </c>
      <c r="I3" s="336"/>
      <c r="J3" s="336"/>
      <c r="K3" s="336"/>
      <c r="L3" s="336"/>
      <c r="M3" s="336"/>
      <c r="N3" s="336"/>
      <c r="O3" s="336"/>
      <c r="P3" s="336"/>
      <c r="Q3" s="336"/>
      <c r="R3" s="336"/>
      <c r="S3" s="336"/>
      <c r="T3" s="336"/>
      <c r="U3" s="336"/>
      <c r="V3" s="347"/>
      <c r="W3" s="361"/>
      <c r="X3" s="352"/>
      <c r="Y3" s="336"/>
      <c r="Z3" s="336"/>
      <c r="AA3" s="336"/>
      <c r="AB3" s="347"/>
      <c r="AC3" s="361"/>
      <c r="AD3" s="341"/>
    </row>
    <row r="4" spans="1:30" ht="18.600000000000001" customHeight="1" thickTop="1" thickBot="1" x14ac:dyDescent="0.35">
      <c r="A4" s="330"/>
      <c r="B4" s="343"/>
      <c r="C4" s="338"/>
      <c r="D4" s="343"/>
      <c r="E4" s="389"/>
      <c r="F4" s="389"/>
      <c r="G4" s="67" t="s">
        <v>40</v>
      </c>
      <c r="H4" s="75">
        <v>0</v>
      </c>
      <c r="I4" s="332"/>
      <c r="J4" s="332"/>
      <c r="K4" s="332"/>
      <c r="L4" s="332"/>
      <c r="M4" s="332"/>
      <c r="N4" s="332"/>
      <c r="O4" s="332"/>
      <c r="P4" s="332"/>
      <c r="Q4" s="332"/>
      <c r="R4" s="332"/>
      <c r="S4" s="332"/>
      <c r="T4" s="332"/>
      <c r="U4" s="332"/>
      <c r="V4" s="334"/>
      <c r="W4" s="362"/>
      <c r="X4" s="354"/>
      <c r="Y4" s="332"/>
      <c r="Z4" s="332"/>
      <c r="AA4" s="332"/>
      <c r="AB4" s="334"/>
      <c r="AC4" s="362"/>
      <c r="AD4" s="389"/>
    </row>
    <row r="5" spans="1:30" ht="52.2" customHeight="1" thickTop="1" thickBot="1" x14ac:dyDescent="0.35">
      <c r="A5" s="330"/>
      <c r="B5" s="343"/>
      <c r="C5" s="389"/>
      <c r="D5" s="389"/>
      <c r="E5" s="12" t="s">
        <v>41</v>
      </c>
      <c r="F5" s="74">
        <f>$B$2/6</f>
        <v>3.3333333333333333E-2</v>
      </c>
      <c r="G5" s="40" t="s">
        <v>42</v>
      </c>
      <c r="H5" s="77" t="s">
        <v>43</v>
      </c>
      <c r="I5" s="69">
        <v>1</v>
      </c>
      <c r="J5" s="70">
        <f>I5*$F$5</f>
        <v>3.3333333333333333E-2</v>
      </c>
      <c r="K5" s="47" t="s">
        <v>124</v>
      </c>
      <c r="L5" s="43">
        <v>1</v>
      </c>
      <c r="M5" s="48">
        <f>L5*$F$5</f>
        <v>3.3333333333333333E-2</v>
      </c>
      <c r="N5" s="43">
        <v>1</v>
      </c>
      <c r="O5" s="48">
        <f>N5*$F$5</f>
        <v>3.3333333333333333E-2</v>
      </c>
      <c r="P5" s="48">
        <f>AVERAGE(M5,O5)</f>
        <v>3.3333333333333333E-2</v>
      </c>
      <c r="Q5" s="78" t="s">
        <v>123</v>
      </c>
      <c r="R5" s="43">
        <v>1</v>
      </c>
      <c r="S5" s="48">
        <f>R5*$F$5</f>
        <v>3.3333333333333333E-2</v>
      </c>
      <c r="T5" s="43">
        <v>1</v>
      </c>
      <c r="U5" s="48">
        <f>T5*$F$5</f>
        <v>3.3333333333333333E-2</v>
      </c>
      <c r="V5" s="317">
        <f>AVERAGE(S5,U5)</f>
        <v>3.3333333333333333E-2</v>
      </c>
      <c r="W5" s="241" t="s">
        <v>125</v>
      </c>
      <c r="X5" s="201">
        <v>1</v>
      </c>
      <c r="Y5" s="48">
        <f>X5*$F$5</f>
        <v>3.3333333333333333E-2</v>
      </c>
      <c r="Z5" s="43">
        <v>1</v>
      </c>
      <c r="AA5" s="48">
        <f>Z5*$F$5</f>
        <v>3.3333333333333333E-2</v>
      </c>
      <c r="AB5" s="165">
        <f>AVERAGE(Y5,AA5)</f>
        <v>3.3333333333333333E-2</v>
      </c>
      <c r="AC5" s="231" t="s">
        <v>125</v>
      </c>
      <c r="AD5" s="12" t="s">
        <v>38</v>
      </c>
    </row>
    <row r="6" spans="1:30" ht="18.600000000000001" customHeight="1" thickTop="1" thickBot="1" x14ac:dyDescent="0.35">
      <c r="A6" s="330"/>
      <c r="B6" s="343"/>
      <c r="C6" s="391" t="s">
        <v>200</v>
      </c>
      <c r="D6" s="398">
        <f>$B$2/3</f>
        <v>6.6666666666666666E-2</v>
      </c>
      <c r="E6" s="393" t="s">
        <v>32</v>
      </c>
      <c r="F6" s="395">
        <f>$B$2/6</f>
        <v>3.3333333333333333E-2</v>
      </c>
      <c r="G6" s="67" t="s">
        <v>33</v>
      </c>
      <c r="H6" s="68">
        <v>1</v>
      </c>
      <c r="I6" s="335">
        <v>1</v>
      </c>
      <c r="J6" s="331">
        <f>I6*$F$6</f>
        <v>3.3333333333333333E-2</v>
      </c>
      <c r="K6" s="412" t="s">
        <v>372</v>
      </c>
      <c r="L6" s="359">
        <v>1</v>
      </c>
      <c r="M6" s="368">
        <f>L6*$F$6</f>
        <v>3.3333333333333333E-2</v>
      </c>
      <c r="N6" s="359">
        <v>1</v>
      </c>
      <c r="O6" s="368">
        <f>N6*$F$6</f>
        <v>3.3333333333333333E-2</v>
      </c>
      <c r="P6" s="368">
        <f>AVERAGE(M6,O6)</f>
        <v>3.3333333333333333E-2</v>
      </c>
      <c r="Q6" s="369" t="s">
        <v>373</v>
      </c>
      <c r="R6" s="359">
        <v>1</v>
      </c>
      <c r="S6" s="368">
        <f>R6*$F$6</f>
        <v>3.3333333333333333E-2</v>
      </c>
      <c r="T6" s="359">
        <v>1</v>
      </c>
      <c r="U6" s="368">
        <f>T6*$F$6</f>
        <v>3.3333333333333333E-2</v>
      </c>
      <c r="V6" s="467">
        <f>AVERAGE(S6,U6)</f>
        <v>3.3333333333333333E-2</v>
      </c>
      <c r="W6" s="441" t="s">
        <v>203</v>
      </c>
      <c r="X6" s="366">
        <v>1</v>
      </c>
      <c r="Y6" s="368">
        <f>X6*$F$6</f>
        <v>3.3333333333333333E-2</v>
      </c>
      <c r="Z6" s="359">
        <v>1</v>
      </c>
      <c r="AA6" s="368">
        <f>Z6*$F$6</f>
        <v>3.3333333333333333E-2</v>
      </c>
      <c r="AB6" s="386">
        <f>AVERAGE(Y6,AA6)</f>
        <v>3.3333333333333333E-2</v>
      </c>
      <c r="AC6" s="431" t="s">
        <v>203</v>
      </c>
      <c r="AD6" s="393" t="s">
        <v>38</v>
      </c>
    </row>
    <row r="7" spans="1:30" ht="18.600000000000001" customHeight="1" thickTop="1" thickBot="1" x14ac:dyDescent="0.35">
      <c r="A7" s="330"/>
      <c r="B7" s="343"/>
      <c r="C7" s="338"/>
      <c r="D7" s="343"/>
      <c r="E7" s="355"/>
      <c r="F7" s="343"/>
      <c r="G7" s="67" t="s">
        <v>39</v>
      </c>
      <c r="H7" s="73">
        <v>0.8</v>
      </c>
      <c r="I7" s="336"/>
      <c r="J7" s="336"/>
      <c r="K7" s="336"/>
      <c r="L7" s="336"/>
      <c r="M7" s="336"/>
      <c r="N7" s="336"/>
      <c r="O7" s="336"/>
      <c r="P7" s="336"/>
      <c r="Q7" s="336"/>
      <c r="R7" s="336"/>
      <c r="S7" s="336"/>
      <c r="T7" s="336"/>
      <c r="U7" s="336"/>
      <c r="V7" s="347"/>
      <c r="W7" s="361"/>
      <c r="X7" s="352"/>
      <c r="Y7" s="336"/>
      <c r="Z7" s="336"/>
      <c r="AA7" s="336"/>
      <c r="AB7" s="347"/>
      <c r="AC7" s="361"/>
      <c r="AD7" s="341"/>
    </row>
    <row r="8" spans="1:30" ht="65.25" customHeight="1" thickTop="1" thickBot="1" x14ac:dyDescent="0.35">
      <c r="A8" s="330"/>
      <c r="B8" s="343"/>
      <c r="C8" s="338"/>
      <c r="D8" s="343"/>
      <c r="E8" s="389"/>
      <c r="F8" s="389"/>
      <c r="G8" s="67" t="s">
        <v>40</v>
      </c>
      <c r="H8" s="75">
        <v>0</v>
      </c>
      <c r="I8" s="332"/>
      <c r="J8" s="332"/>
      <c r="K8" s="332"/>
      <c r="L8" s="332"/>
      <c r="M8" s="332"/>
      <c r="N8" s="332"/>
      <c r="O8" s="332"/>
      <c r="P8" s="332"/>
      <c r="Q8" s="332"/>
      <c r="R8" s="332"/>
      <c r="S8" s="332"/>
      <c r="T8" s="332"/>
      <c r="U8" s="332"/>
      <c r="V8" s="334"/>
      <c r="W8" s="362"/>
      <c r="X8" s="354"/>
      <c r="Y8" s="332"/>
      <c r="Z8" s="332"/>
      <c r="AA8" s="332"/>
      <c r="AB8" s="334"/>
      <c r="AC8" s="362"/>
      <c r="AD8" s="389"/>
    </row>
    <row r="9" spans="1:30" ht="129" customHeight="1" thickTop="1" thickBot="1" x14ac:dyDescent="0.35">
      <c r="A9" s="330"/>
      <c r="B9" s="343"/>
      <c r="C9" s="389"/>
      <c r="D9" s="389"/>
      <c r="E9" s="12" t="s">
        <v>41</v>
      </c>
      <c r="F9" s="74">
        <f>$B$2/6</f>
        <v>3.3333333333333333E-2</v>
      </c>
      <c r="G9" s="40" t="s">
        <v>42</v>
      </c>
      <c r="H9" s="77" t="s">
        <v>43</v>
      </c>
      <c r="I9" s="69">
        <v>1</v>
      </c>
      <c r="J9" s="70">
        <f>I9*$F$9</f>
        <v>3.3333333333333333E-2</v>
      </c>
      <c r="K9" s="47" t="s">
        <v>374</v>
      </c>
      <c r="L9" s="43">
        <v>0.95</v>
      </c>
      <c r="M9" s="48">
        <f>L9*$F$9</f>
        <v>3.1666666666666662E-2</v>
      </c>
      <c r="N9" s="43">
        <v>0.8</v>
      </c>
      <c r="O9" s="48">
        <f>N9*$F$9</f>
        <v>2.6666666666666668E-2</v>
      </c>
      <c r="P9" s="48">
        <f>AVERAGE(M9,O9)</f>
        <v>2.9166666666666667E-2</v>
      </c>
      <c r="Q9" s="167" t="s">
        <v>375</v>
      </c>
      <c r="R9" s="43">
        <v>1</v>
      </c>
      <c r="S9" s="48">
        <f>R9*$F$9</f>
        <v>3.3333333333333333E-2</v>
      </c>
      <c r="T9" s="43">
        <v>1</v>
      </c>
      <c r="U9" s="48">
        <f>T9*$F$9</f>
        <v>3.3333333333333333E-2</v>
      </c>
      <c r="V9" s="317">
        <f>AVERAGE(S9,U9)</f>
        <v>3.3333333333333333E-2</v>
      </c>
      <c r="W9" s="277" t="s">
        <v>276</v>
      </c>
      <c r="X9" s="201">
        <v>1</v>
      </c>
      <c r="Y9" s="48">
        <f>X9*$F$9</f>
        <v>3.3333333333333333E-2</v>
      </c>
      <c r="Z9" s="43">
        <v>1</v>
      </c>
      <c r="AA9" s="48">
        <f>Z9*$F$9</f>
        <v>3.3333333333333333E-2</v>
      </c>
      <c r="AB9" s="165">
        <f>AVERAGE(Y9,AA9)</f>
        <v>3.3333333333333333E-2</v>
      </c>
      <c r="AC9" s="232" t="s">
        <v>277</v>
      </c>
      <c r="AD9" s="12" t="s">
        <v>38</v>
      </c>
    </row>
    <row r="10" spans="1:30" ht="129" customHeight="1" thickTop="1" thickBot="1" x14ac:dyDescent="0.35">
      <c r="A10" s="330"/>
      <c r="B10" s="343"/>
      <c r="C10" s="391" t="s">
        <v>46</v>
      </c>
      <c r="D10" s="398">
        <f>$B$2/3</f>
        <v>6.6666666666666666E-2</v>
      </c>
      <c r="E10" s="393" t="s">
        <v>32</v>
      </c>
      <c r="F10" s="395">
        <f>$B$2/6</f>
        <v>3.3333333333333333E-2</v>
      </c>
      <c r="G10" s="67" t="s">
        <v>33</v>
      </c>
      <c r="H10" s="68">
        <v>1</v>
      </c>
      <c r="I10" s="335">
        <v>1</v>
      </c>
      <c r="J10" s="331">
        <f>I10*$F$10</f>
        <v>3.3333333333333333E-2</v>
      </c>
      <c r="K10" s="369" t="s">
        <v>126</v>
      </c>
      <c r="L10" s="359">
        <v>1</v>
      </c>
      <c r="M10" s="368">
        <f>L10*$F$10</f>
        <v>3.3333333333333333E-2</v>
      </c>
      <c r="N10" s="359">
        <v>1</v>
      </c>
      <c r="O10" s="368">
        <f>N10*$F$10</f>
        <v>3.3333333333333333E-2</v>
      </c>
      <c r="P10" s="386">
        <f>AVERAGE(M10,O10)</f>
        <v>3.3333333333333333E-2</v>
      </c>
      <c r="Q10" s="472" t="s">
        <v>376</v>
      </c>
      <c r="R10" s="359">
        <v>1</v>
      </c>
      <c r="S10" s="368">
        <f>R10*$F$10</f>
        <v>3.3333333333333333E-2</v>
      </c>
      <c r="T10" s="359">
        <v>1</v>
      </c>
      <c r="U10" s="368">
        <f>T10*$F$10</f>
        <v>3.3333333333333333E-2</v>
      </c>
      <c r="V10" s="467">
        <f>AVERAGE(S10,U10)</f>
        <v>3.3333333333333333E-2</v>
      </c>
      <c r="W10" s="476" t="s">
        <v>377</v>
      </c>
      <c r="X10" s="366">
        <v>1</v>
      </c>
      <c r="Y10" s="368">
        <f>X10*$F$10</f>
        <v>3.3333333333333333E-2</v>
      </c>
      <c r="Z10" s="359">
        <v>1</v>
      </c>
      <c r="AA10" s="368">
        <f>Z10*$F$10</f>
        <v>3.3333333333333333E-2</v>
      </c>
      <c r="AB10" s="386">
        <f>AVERAGE(Y10,AA10)</f>
        <v>3.3333333333333333E-2</v>
      </c>
      <c r="AC10" s="476" t="s">
        <v>377</v>
      </c>
      <c r="AD10" s="393" t="s">
        <v>38</v>
      </c>
    </row>
    <row r="11" spans="1:30" ht="21" customHeight="1" thickTop="1" thickBot="1" x14ac:dyDescent="0.35">
      <c r="A11" s="330"/>
      <c r="B11" s="343"/>
      <c r="C11" s="338"/>
      <c r="D11" s="343"/>
      <c r="E11" s="355"/>
      <c r="F11" s="343"/>
      <c r="G11" s="67" t="s">
        <v>39</v>
      </c>
      <c r="H11" s="73">
        <v>0.8</v>
      </c>
      <c r="I11" s="336"/>
      <c r="J11" s="336"/>
      <c r="K11" s="336"/>
      <c r="L11" s="336"/>
      <c r="M11" s="336"/>
      <c r="N11" s="336"/>
      <c r="O11" s="336"/>
      <c r="P11" s="347"/>
      <c r="Q11" s="473"/>
      <c r="R11" s="336"/>
      <c r="S11" s="336"/>
      <c r="T11" s="336"/>
      <c r="U11" s="336"/>
      <c r="V11" s="347"/>
      <c r="W11" s="361"/>
      <c r="X11" s="352"/>
      <c r="Y11" s="336"/>
      <c r="Z11" s="336"/>
      <c r="AA11" s="336"/>
      <c r="AB11" s="347"/>
      <c r="AC11" s="361"/>
      <c r="AD11" s="341"/>
    </row>
    <row r="12" spans="1:30" ht="54" customHeight="1" thickTop="1" thickBot="1" x14ac:dyDescent="0.35">
      <c r="A12" s="330"/>
      <c r="B12" s="343"/>
      <c r="C12" s="338"/>
      <c r="D12" s="343"/>
      <c r="E12" s="389"/>
      <c r="F12" s="389"/>
      <c r="G12" s="67" t="s">
        <v>40</v>
      </c>
      <c r="H12" s="75">
        <v>0.5</v>
      </c>
      <c r="I12" s="332"/>
      <c r="J12" s="332"/>
      <c r="K12" s="332"/>
      <c r="L12" s="332"/>
      <c r="M12" s="332"/>
      <c r="N12" s="332"/>
      <c r="O12" s="332"/>
      <c r="P12" s="334"/>
      <c r="Q12" s="474"/>
      <c r="R12" s="332"/>
      <c r="S12" s="332"/>
      <c r="T12" s="332"/>
      <c r="U12" s="332"/>
      <c r="V12" s="334"/>
      <c r="W12" s="404"/>
      <c r="X12" s="354"/>
      <c r="Y12" s="332"/>
      <c r="Z12" s="332"/>
      <c r="AA12" s="332"/>
      <c r="AB12" s="334"/>
      <c r="AC12" s="404"/>
      <c r="AD12" s="389"/>
    </row>
    <row r="13" spans="1:30" ht="159" customHeight="1" thickTop="1" thickBot="1" x14ac:dyDescent="0.35">
      <c r="A13" s="389"/>
      <c r="B13" s="389"/>
      <c r="C13" s="389"/>
      <c r="D13" s="389"/>
      <c r="E13" s="12" t="s">
        <v>41</v>
      </c>
      <c r="F13" s="74">
        <f>$B$2/6</f>
        <v>3.3333333333333333E-2</v>
      </c>
      <c r="G13" s="40" t="s">
        <v>42</v>
      </c>
      <c r="H13" s="77" t="s">
        <v>43</v>
      </c>
      <c r="I13" s="158">
        <v>1</v>
      </c>
      <c r="J13" s="154">
        <f>I13*$F$13</f>
        <v>3.3333333333333333E-2</v>
      </c>
      <c r="K13" s="148" t="s">
        <v>378</v>
      </c>
      <c r="L13" s="149">
        <v>1</v>
      </c>
      <c r="M13" s="147">
        <f>L13*$F$13</f>
        <v>3.3333333333333333E-2</v>
      </c>
      <c r="N13" s="149">
        <v>1</v>
      </c>
      <c r="O13" s="147">
        <f>N13*$F$13</f>
        <v>3.3333333333333333E-2</v>
      </c>
      <c r="P13" s="161">
        <f t="shared" ref="P13:P21" si="0">AVERAGE(M13,O13)</f>
        <v>3.3333333333333333E-2</v>
      </c>
      <c r="Q13" s="169" t="s">
        <v>170</v>
      </c>
      <c r="R13" s="149">
        <v>0.85</v>
      </c>
      <c r="S13" s="147">
        <f>R13*$F$13</f>
        <v>2.8333333333333332E-2</v>
      </c>
      <c r="T13" s="149">
        <v>0.85</v>
      </c>
      <c r="U13" s="147">
        <f>T13*$F$13</f>
        <v>2.8333333333333332E-2</v>
      </c>
      <c r="V13" s="318">
        <f>AVERAGE(S13,U13)</f>
        <v>2.8333333333333332E-2</v>
      </c>
      <c r="W13" s="279" t="s">
        <v>379</v>
      </c>
      <c r="X13" s="182">
        <v>0.85</v>
      </c>
      <c r="Y13" s="147">
        <f>X13*$F$13</f>
        <v>2.8333333333333332E-2</v>
      </c>
      <c r="Z13" s="151">
        <v>0.85</v>
      </c>
      <c r="AA13" s="147">
        <f>Z13*$F$13</f>
        <v>2.8333333333333332E-2</v>
      </c>
      <c r="AB13" s="161">
        <f>AVERAGE(Y13,AA13)</f>
        <v>2.8333333333333332E-2</v>
      </c>
      <c r="AC13" s="279" t="s">
        <v>379</v>
      </c>
      <c r="AD13" s="12" t="s">
        <v>38</v>
      </c>
    </row>
    <row r="14" spans="1:30" ht="99.75" customHeight="1" thickTop="1" thickBot="1" x14ac:dyDescent="0.35">
      <c r="A14" s="387" t="s">
        <v>55</v>
      </c>
      <c r="B14" s="394">
        <v>0.25</v>
      </c>
      <c r="C14" s="79" t="s">
        <v>31</v>
      </c>
      <c r="D14" s="80">
        <v>0.05</v>
      </c>
      <c r="E14" s="10" t="s">
        <v>56</v>
      </c>
      <c r="F14" s="80">
        <v>0.05</v>
      </c>
      <c r="G14" s="81" t="s">
        <v>57</v>
      </c>
      <c r="H14" s="82" t="s">
        <v>43</v>
      </c>
      <c r="I14" s="158">
        <v>1</v>
      </c>
      <c r="J14" s="154">
        <f>I14*$F$14</f>
        <v>0.05</v>
      </c>
      <c r="K14" s="150" t="s">
        <v>281</v>
      </c>
      <c r="L14" s="149">
        <v>1</v>
      </c>
      <c r="M14" s="147">
        <f>L14*$F$14</f>
        <v>0.05</v>
      </c>
      <c r="N14" s="149">
        <v>1</v>
      </c>
      <c r="O14" s="147">
        <f>N14*$F$14</f>
        <v>0.05</v>
      </c>
      <c r="P14" s="147">
        <f t="shared" si="0"/>
        <v>0.05</v>
      </c>
      <c r="Q14" s="169" t="s">
        <v>134</v>
      </c>
      <c r="R14" s="149">
        <v>1</v>
      </c>
      <c r="S14" s="147">
        <f>R14*$F$14</f>
        <v>0.05</v>
      </c>
      <c r="T14" s="149">
        <v>1</v>
      </c>
      <c r="U14" s="147">
        <f>T14*$F$14</f>
        <v>0.05</v>
      </c>
      <c r="V14" s="318">
        <f>AVERAGE(S14,U14)</f>
        <v>0.05</v>
      </c>
      <c r="W14" s="228" t="s">
        <v>134</v>
      </c>
      <c r="X14" s="182">
        <v>1</v>
      </c>
      <c r="Y14" s="147">
        <f>X14*$F$14</f>
        <v>0.05</v>
      </c>
      <c r="Z14" s="151">
        <v>1</v>
      </c>
      <c r="AA14" s="147">
        <f>Z14*$F$14</f>
        <v>0.05</v>
      </c>
      <c r="AB14" s="161">
        <f>AVERAGE(Y14,AA14)</f>
        <v>0.05</v>
      </c>
      <c r="AC14" s="233" t="s">
        <v>250</v>
      </c>
      <c r="AD14" s="10" t="s">
        <v>38</v>
      </c>
    </row>
    <row r="15" spans="1:30" ht="150.75" customHeight="1" thickTop="1" thickBot="1" x14ac:dyDescent="0.35">
      <c r="A15" s="330"/>
      <c r="B15" s="343"/>
      <c r="C15" s="79" t="s">
        <v>200</v>
      </c>
      <c r="D15" s="80">
        <v>0.05</v>
      </c>
      <c r="E15" s="10" t="s">
        <v>213</v>
      </c>
      <c r="F15" s="80">
        <v>0.05</v>
      </c>
      <c r="G15" s="159" t="s">
        <v>214</v>
      </c>
      <c r="H15" s="82" t="s">
        <v>43</v>
      </c>
      <c r="I15" s="158">
        <v>0.47</v>
      </c>
      <c r="J15" s="154">
        <f>I15*$F$15</f>
        <v>2.35E-2</v>
      </c>
      <c r="K15" s="150" t="s">
        <v>380</v>
      </c>
      <c r="L15" s="149">
        <v>0.5</v>
      </c>
      <c r="M15" s="147">
        <f>L15*$F$15</f>
        <v>2.5000000000000001E-2</v>
      </c>
      <c r="N15" s="149">
        <v>0.72</v>
      </c>
      <c r="O15" s="147">
        <f>N15*$F$15</f>
        <v>3.5999999999999997E-2</v>
      </c>
      <c r="P15" s="147">
        <f t="shared" si="0"/>
        <v>3.0499999999999999E-2</v>
      </c>
      <c r="Q15" s="280" t="s">
        <v>381</v>
      </c>
      <c r="R15" s="149">
        <v>0.99250000000000005</v>
      </c>
      <c r="S15" s="147">
        <f>R15*$F$15</f>
        <v>4.9625000000000002E-2</v>
      </c>
      <c r="T15" s="149">
        <v>0.98899999999999999</v>
      </c>
      <c r="U15" s="147">
        <f>T15*$F$15</f>
        <v>4.9450000000000001E-2</v>
      </c>
      <c r="V15" s="318">
        <f>AVERAGE(S15,U15)</f>
        <v>4.9537499999999998E-2</v>
      </c>
      <c r="W15" s="229" t="s">
        <v>217</v>
      </c>
      <c r="X15" s="182">
        <v>0.79249999999999998</v>
      </c>
      <c r="Y15" s="147">
        <f>X15*$F$15</f>
        <v>3.9625E-2</v>
      </c>
      <c r="Z15" s="151">
        <v>0.82079999999999997</v>
      </c>
      <c r="AA15" s="147">
        <f>Z15*$F$15</f>
        <v>4.104E-2</v>
      </c>
      <c r="AB15" s="161">
        <f>AVERAGE(Y15,AA15)</f>
        <v>4.03325E-2</v>
      </c>
      <c r="AC15" s="234" t="s">
        <v>217</v>
      </c>
      <c r="AD15" s="10" t="s">
        <v>38</v>
      </c>
    </row>
    <row r="16" spans="1:30" ht="70.2" customHeight="1" thickTop="1" thickBot="1" x14ac:dyDescent="0.35">
      <c r="A16" s="330"/>
      <c r="B16" s="343"/>
      <c r="C16" s="79" t="s">
        <v>135</v>
      </c>
      <c r="D16" s="80">
        <v>0.05</v>
      </c>
      <c r="E16" s="10" t="s">
        <v>136</v>
      </c>
      <c r="F16" s="80">
        <v>0.05</v>
      </c>
      <c r="G16" s="81" t="s">
        <v>137</v>
      </c>
      <c r="H16" s="82" t="s">
        <v>43</v>
      </c>
      <c r="I16" s="69">
        <v>0.83</v>
      </c>
      <c r="J16" s="155">
        <f>I16*$F$16</f>
        <v>4.1500000000000002E-2</v>
      </c>
      <c r="K16" s="146" t="s">
        <v>382</v>
      </c>
      <c r="L16" s="144">
        <v>0.97</v>
      </c>
      <c r="M16" s="145">
        <f>L16*$F$16</f>
        <v>4.8500000000000001E-2</v>
      </c>
      <c r="N16" s="144">
        <v>0.97</v>
      </c>
      <c r="O16" s="145">
        <f>N16*$F$16</f>
        <v>4.8500000000000001E-2</v>
      </c>
      <c r="P16" s="145">
        <f t="shared" si="0"/>
        <v>4.8500000000000001E-2</v>
      </c>
      <c r="Q16" s="172" t="s">
        <v>175</v>
      </c>
      <c r="R16" s="471">
        <v>0.97</v>
      </c>
      <c r="S16" s="463"/>
      <c r="T16" s="463"/>
      <c r="U16" s="464"/>
      <c r="V16" s="319">
        <f>R16*F16</f>
        <v>4.8500000000000001E-2</v>
      </c>
      <c r="W16" s="252" t="s">
        <v>140</v>
      </c>
      <c r="X16" s="430">
        <v>1</v>
      </c>
      <c r="Y16" s="353"/>
      <c r="Z16" s="353"/>
      <c r="AA16" s="354"/>
      <c r="AB16" s="202">
        <f>X16*D16</f>
        <v>0.05</v>
      </c>
      <c r="AC16" s="172" t="s">
        <v>141</v>
      </c>
      <c r="AD16" s="10" t="s">
        <v>82</v>
      </c>
    </row>
    <row r="17" spans="1:30" ht="47.4" customHeight="1" thickTop="1" thickBot="1" x14ac:dyDescent="0.35">
      <c r="A17" s="330"/>
      <c r="B17" s="343"/>
      <c r="C17" s="83" t="s">
        <v>142</v>
      </c>
      <c r="D17" s="76">
        <v>0.05</v>
      </c>
      <c r="E17" s="12" t="s">
        <v>143</v>
      </c>
      <c r="F17" s="76">
        <v>0.05</v>
      </c>
      <c r="G17" s="84" t="s">
        <v>144</v>
      </c>
      <c r="H17" s="85" t="s">
        <v>43</v>
      </c>
      <c r="I17" s="69">
        <v>1</v>
      </c>
      <c r="J17" s="70">
        <f>I17*$F$17</f>
        <v>0.05</v>
      </c>
      <c r="K17" s="47" t="s">
        <v>383</v>
      </c>
      <c r="L17" s="43">
        <v>1</v>
      </c>
      <c r="M17" s="48">
        <f>L17*$F$17</f>
        <v>0.05</v>
      </c>
      <c r="N17" s="43">
        <v>1</v>
      </c>
      <c r="O17" s="48">
        <f>N17*$F$17</f>
        <v>0.05</v>
      </c>
      <c r="P17" s="48">
        <f t="shared" si="0"/>
        <v>0.05</v>
      </c>
      <c r="Q17" s="78" t="s">
        <v>383</v>
      </c>
      <c r="R17" s="43">
        <v>1</v>
      </c>
      <c r="S17" s="48">
        <f>R17*$F$17</f>
        <v>0.05</v>
      </c>
      <c r="T17" s="43">
        <v>1</v>
      </c>
      <c r="U17" s="48">
        <f>T17*$F$17</f>
        <v>0.05</v>
      </c>
      <c r="V17" s="317">
        <f>AVERAGE(S17,U17)</f>
        <v>0.05</v>
      </c>
      <c r="W17" s="241" t="s">
        <v>383</v>
      </c>
      <c r="X17" s="201">
        <v>1</v>
      </c>
      <c r="Y17" s="48">
        <f>X17*$F$17</f>
        <v>0.05</v>
      </c>
      <c r="Z17" s="43">
        <v>1</v>
      </c>
      <c r="AA17" s="48">
        <f>Z17*$F$17</f>
        <v>0.05</v>
      </c>
      <c r="AB17" s="165">
        <f>AVERAGE(Y17,AA17)</f>
        <v>0.05</v>
      </c>
      <c r="AC17" s="78" t="s">
        <v>383</v>
      </c>
      <c r="AD17" s="12" t="s">
        <v>38</v>
      </c>
    </row>
    <row r="18" spans="1:30" ht="104.25" customHeight="1" thickTop="1" thickBot="1" x14ac:dyDescent="0.35">
      <c r="A18" s="330"/>
      <c r="B18" s="343"/>
      <c r="C18" s="79" t="s">
        <v>60</v>
      </c>
      <c r="D18" s="80">
        <v>0.03</v>
      </c>
      <c r="E18" s="10" t="s">
        <v>61</v>
      </c>
      <c r="F18" s="80">
        <v>0.03</v>
      </c>
      <c r="G18" s="81" t="s">
        <v>62</v>
      </c>
      <c r="H18" s="82" t="s">
        <v>43</v>
      </c>
      <c r="I18" s="69">
        <v>1</v>
      </c>
      <c r="J18" s="70">
        <f>I18*$F$18</f>
        <v>0.03</v>
      </c>
      <c r="K18" s="47" t="s">
        <v>384</v>
      </c>
      <c r="L18" s="43">
        <v>1</v>
      </c>
      <c r="M18" s="48">
        <f>L18*$F$18</f>
        <v>0.03</v>
      </c>
      <c r="N18" s="43">
        <v>1</v>
      </c>
      <c r="O18" s="48">
        <f>N18*$F$18</f>
        <v>0.03</v>
      </c>
      <c r="P18" s="48">
        <f t="shared" si="0"/>
        <v>0.03</v>
      </c>
      <c r="Q18" s="272" t="s">
        <v>180</v>
      </c>
      <c r="R18" s="43">
        <v>1</v>
      </c>
      <c r="S18" s="48">
        <f>R18*$F$18</f>
        <v>0.03</v>
      </c>
      <c r="T18" s="43">
        <v>1</v>
      </c>
      <c r="U18" s="48">
        <f>T18*$F$18</f>
        <v>0.03</v>
      </c>
      <c r="V18" s="317">
        <f>AVERAGE(S18,U18)</f>
        <v>0.03</v>
      </c>
      <c r="W18" s="230" t="s">
        <v>65</v>
      </c>
      <c r="X18" s="201">
        <v>1</v>
      </c>
      <c r="Y18" s="48">
        <f>X18*$F$18</f>
        <v>0.03</v>
      </c>
      <c r="Z18" s="43">
        <v>0.83340000000000003</v>
      </c>
      <c r="AA18" s="48">
        <f>Z18*$F$18</f>
        <v>2.5002E-2</v>
      </c>
      <c r="AB18" s="165">
        <f>AVERAGE(Y18,AA18)</f>
        <v>2.7500999999999998E-2</v>
      </c>
      <c r="AC18" s="238" t="s">
        <v>385</v>
      </c>
      <c r="AD18" s="10" t="s">
        <v>38</v>
      </c>
    </row>
    <row r="19" spans="1:30" ht="97.95" customHeight="1" thickTop="1" thickBot="1" x14ac:dyDescent="0.35">
      <c r="A19" s="389"/>
      <c r="B19" s="389"/>
      <c r="C19" s="86" t="s">
        <v>67</v>
      </c>
      <c r="D19" s="72">
        <v>0.02</v>
      </c>
      <c r="E19" s="18" t="s">
        <v>68</v>
      </c>
      <c r="F19" s="72">
        <v>0.02</v>
      </c>
      <c r="G19" s="87" t="s">
        <v>69</v>
      </c>
      <c r="H19" s="88" t="s">
        <v>43</v>
      </c>
      <c r="I19" s="69">
        <v>0.71419999999999995</v>
      </c>
      <c r="J19" s="70">
        <f>I19*$F$19</f>
        <v>1.4284E-2</v>
      </c>
      <c r="K19" s="47" t="s">
        <v>386</v>
      </c>
      <c r="L19" s="43">
        <v>0.71419999999999995</v>
      </c>
      <c r="M19" s="48">
        <f>L19*$F$19</f>
        <v>1.4284E-2</v>
      </c>
      <c r="N19" s="43">
        <v>0.45450000000000002</v>
      </c>
      <c r="O19" s="48">
        <f>N19*$F$19</f>
        <v>9.0900000000000009E-3</v>
      </c>
      <c r="P19" s="48">
        <f t="shared" si="0"/>
        <v>1.1686999999999999E-2</v>
      </c>
      <c r="Q19" s="189" t="s">
        <v>387</v>
      </c>
      <c r="R19" s="211">
        <v>0</v>
      </c>
      <c r="S19" s="200">
        <f>R19*$F$19</f>
        <v>0</v>
      </c>
      <c r="T19" s="211">
        <v>0</v>
      </c>
      <c r="U19" s="200">
        <f>T19*$F$19</f>
        <v>0</v>
      </c>
      <c r="V19" s="317">
        <f>AVERAGE(S19,U19)</f>
        <v>0</v>
      </c>
      <c r="W19" s="299" t="s">
        <v>388</v>
      </c>
      <c r="X19" s="201">
        <v>0</v>
      </c>
      <c r="Y19" s="48">
        <f>F19*X19</f>
        <v>0</v>
      </c>
      <c r="Z19" s="43">
        <v>0</v>
      </c>
      <c r="AA19" s="48">
        <f>Z19*$F$19</f>
        <v>0</v>
      </c>
      <c r="AB19" s="165">
        <f>AVERAGE(Y19,AA19)</f>
        <v>0</v>
      </c>
      <c r="AC19" s="281" t="s">
        <v>389</v>
      </c>
      <c r="AD19" s="18" t="s">
        <v>38</v>
      </c>
    </row>
    <row r="20" spans="1:30" ht="116.4" customHeight="1" thickTop="1" thickBot="1" x14ac:dyDescent="0.35">
      <c r="A20" s="387" t="s">
        <v>74</v>
      </c>
      <c r="B20" s="394">
        <v>0.25</v>
      </c>
      <c r="C20" s="390" t="s">
        <v>75</v>
      </c>
      <c r="D20" s="400">
        <f>B20</f>
        <v>0.25</v>
      </c>
      <c r="E20" s="10" t="s">
        <v>76</v>
      </c>
      <c r="F20" s="90">
        <f>D20*0.8</f>
        <v>0.2</v>
      </c>
      <c r="G20" s="81" t="s">
        <v>77</v>
      </c>
      <c r="H20" s="91" t="s">
        <v>43</v>
      </c>
      <c r="I20" s="69">
        <v>0.875</v>
      </c>
      <c r="J20" s="70">
        <f>I20*$F$20</f>
        <v>0.17500000000000002</v>
      </c>
      <c r="K20" s="62" t="s">
        <v>390</v>
      </c>
      <c r="L20" s="184">
        <v>0.75</v>
      </c>
      <c r="M20" s="48">
        <f>L20*$F$20</f>
        <v>0.15000000000000002</v>
      </c>
      <c r="N20" s="184">
        <v>1</v>
      </c>
      <c r="O20" s="48">
        <f>N20*$F$20</f>
        <v>0.2</v>
      </c>
      <c r="P20" s="48">
        <f t="shared" si="0"/>
        <v>0.17500000000000002</v>
      </c>
      <c r="Q20" s="475" t="s">
        <v>391</v>
      </c>
      <c r="R20" s="468">
        <v>0.75</v>
      </c>
      <c r="S20" s="374"/>
      <c r="T20" s="374"/>
      <c r="U20" s="375"/>
      <c r="V20" s="320">
        <f>R20*F20</f>
        <v>0.15000000000000002</v>
      </c>
      <c r="W20" s="466" t="s">
        <v>392</v>
      </c>
      <c r="X20" s="402">
        <v>0.69230000000000003</v>
      </c>
      <c r="Y20" s="374"/>
      <c r="Z20" s="374"/>
      <c r="AA20" s="375"/>
      <c r="AB20" s="165">
        <f>X20*F20</f>
        <v>0.13846</v>
      </c>
      <c r="AC20" s="478" t="s">
        <v>260</v>
      </c>
      <c r="AD20" s="10" t="s">
        <v>82</v>
      </c>
    </row>
    <row r="21" spans="1:30" ht="116.4" customHeight="1" thickTop="1" thickBot="1" x14ac:dyDescent="0.35">
      <c r="A21" s="389"/>
      <c r="B21" s="389"/>
      <c r="C21" s="389"/>
      <c r="D21" s="389"/>
      <c r="E21" s="12" t="s">
        <v>83</v>
      </c>
      <c r="F21" s="94">
        <f>D20*0.2</f>
        <v>0.05</v>
      </c>
      <c r="G21" s="84" t="s">
        <v>84</v>
      </c>
      <c r="H21" s="93" t="s">
        <v>43</v>
      </c>
      <c r="I21" s="69">
        <v>0.28570000000000001</v>
      </c>
      <c r="J21" s="70">
        <f>I21*$F$21</f>
        <v>1.4285000000000001E-2</v>
      </c>
      <c r="K21" s="62" t="s">
        <v>393</v>
      </c>
      <c r="L21" s="184">
        <v>0.66669999999999996</v>
      </c>
      <c r="M21" s="48">
        <f>L21*$F$21</f>
        <v>3.3334999999999997E-2</v>
      </c>
      <c r="N21" s="184">
        <v>0.66669999999999996</v>
      </c>
      <c r="O21" s="48">
        <f>N21*$F$21</f>
        <v>3.3334999999999997E-2</v>
      </c>
      <c r="P21" s="48">
        <f t="shared" si="0"/>
        <v>3.3334999999999997E-2</v>
      </c>
      <c r="Q21" s="334"/>
      <c r="R21" s="468">
        <v>1</v>
      </c>
      <c r="S21" s="374"/>
      <c r="T21" s="374"/>
      <c r="U21" s="375"/>
      <c r="V21" s="320">
        <f>R21*F21</f>
        <v>0.05</v>
      </c>
      <c r="W21" s="404"/>
      <c r="X21" s="402">
        <v>1</v>
      </c>
      <c r="Y21" s="374"/>
      <c r="Z21" s="374"/>
      <c r="AA21" s="375"/>
      <c r="AB21" s="165">
        <f>X21*F21</f>
        <v>0.05</v>
      </c>
      <c r="AC21" s="479"/>
      <c r="AD21" s="12" t="s">
        <v>82</v>
      </c>
    </row>
    <row r="22" spans="1:30" ht="49.95" customHeight="1" thickTop="1" x14ac:dyDescent="0.3">
      <c r="A22" s="387" t="s">
        <v>86</v>
      </c>
      <c r="B22" s="394">
        <v>0.3</v>
      </c>
      <c r="C22" s="390" t="s">
        <v>87</v>
      </c>
      <c r="D22" s="400">
        <f>$B$22/2</f>
        <v>0.15</v>
      </c>
      <c r="E22" s="393" t="s">
        <v>88</v>
      </c>
      <c r="F22" s="400">
        <f>$B$22/2</f>
        <v>0.15</v>
      </c>
      <c r="G22" s="95" t="s">
        <v>89</v>
      </c>
      <c r="H22" s="89">
        <v>1</v>
      </c>
      <c r="I22" s="335">
        <v>1</v>
      </c>
      <c r="J22" s="331">
        <f>I22*$F$22</f>
        <v>0.15</v>
      </c>
      <c r="K22" s="412" t="s">
        <v>158</v>
      </c>
      <c r="L22" s="477">
        <v>1</v>
      </c>
      <c r="M22" s="346"/>
      <c r="N22" s="346"/>
      <c r="O22" s="396"/>
      <c r="P22" s="368">
        <f>L22*F22</f>
        <v>0.15</v>
      </c>
      <c r="Q22" s="369" t="s">
        <v>91</v>
      </c>
      <c r="R22" s="470">
        <v>1</v>
      </c>
      <c r="S22" s="341"/>
      <c r="T22" s="341"/>
      <c r="U22" s="352"/>
      <c r="V22" s="467">
        <f>R22*F22</f>
        <v>0.15</v>
      </c>
      <c r="W22" s="399" t="s">
        <v>92</v>
      </c>
      <c r="X22" s="423">
        <v>1</v>
      </c>
      <c r="Y22" s="346"/>
      <c r="Z22" s="346"/>
      <c r="AA22" s="396"/>
      <c r="AB22" s="386">
        <f>X22*$F22</f>
        <v>0.15</v>
      </c>
      <c r="AC22" s="380" t="s">
        <v>92</v>
      </c>
      <c r="AD22" s="393" t="s">
        <v>93</v>
      </c>
    </row>
    <row r="23" spans="1:30" ht="49.95" customHeight="1" thickBot="1" x14ac:dyDescent="0.35">
      <c r="A23" s="330"/>
      <c r="B23" s="343"/>
      <c r="C23" s="389"/>
      <c r="D23" s="389"/>
      <c r="E23" s="389"/>
      <c r="F23" s="389"/>
      <c r="G23" s="96" t="s">
        <v>94</v>
      </c>
      <c r="H23" s="93">
        <v>0</v>
      </c>
      <c r="I23" s="332"/>
      <c r="J23" s="332"/>
      <c r="K23" s="332"/>
      <c r="L23" s="334"/>
      <c r="M23" s="353"/>
      <c r="N23" s="353"/>
      <c r="O23" s="354"/>
      <c r="P23" s="332"/>
      <c r="Q23" s="332"/>
      <c r="R23" s="334"/>
      <c r="S23" s="353"/>
      <c r="T23" s="353"/>
      <c r="U23" s="354"/>
      <c r="V23" s="334"/>
      <c r="W23" s="362"/>
      <c r="X23" s="353"/>
      <c r="Y23" s="353"/>
      <c r="Z23" s="353"/>
      <c r="AA23" s="354"/>
      <c r="AB23" s="334"/>
      <c r="AC23" s="332"/>
      <c r="AD23" s="389"/>
    </row>
    <row r="24" spans="1:30" ht="82.2" customHeight="1" thickTop="1" thickBot="1" x14ac:dyDescent="0.35">
      <c r="A24" s="389"/>
      <c r="B24" s="389"/>
      <c r="C24" s="37" t="s">
        <v>95</v>
      </c>
      <c r="D24" s="91">
        <v>0.15</v>
      </c>
      <c r="E24" s="9" t="s">
        <v>96</v>
      </c>
      <c r="F24" s="91">
        <v>0.15</v>
      </c>
      <c r="G24" s="81" t="s">
        <v>97</v>
      </c>
      <c r="H24" s="91">
        <v>1</v>
      </c>
      <c r="I24" s="69">
        <v>0.37609999999999999</v>
      </c>
      <c r="J24" s="70">
        <f>I24*$F$24</f>
        <v>5.6414999999999993E-2</v>
      </c>
      <c r="K24" s="47" t="s">
        <v>394</v>
      </c>
      <c r="L24" s="477">
        <v>0.41339999999999999</v>
      </c>
      <c r="M24" s="364"/>
      <c r="N24" s="364"/>
      <c r="O24" s="365"/>
      <c r="P24" s="48">
        <f>L24*F24</f>
        <v>6.2009999999999996E-2</v>
      </c>
      <c r="Q24" s="78" t="s">
        <v>395</v>
      </c>
      <c r="R24" s="420">
        <v>0.63190000000000002</v>
      </c>
      <c r="S24" s="364"/>
      <c r="T24" s="364"/>
      <c r="U24" s="365"/>
      <c r="V24" s="317">
        <f>R24*F24</f>
        <v>9.4784999999999994E-2</v>
      </c>
      <c r="W24" s="242" t="s">
        <v>396</v>
      </c>
      <c r="X24" s="423">
        <v>0.86419999999999997</v>
      </c>
      <c r="Y24" s="364"/>
      <c r="Z24" s="364"/>
      <c r="AA24" s="365"/>
      <c r="AB24" s="165">
        <f>X24*$F24</f>
        <v>0.12963</v>
      </c>
      <c r="AC24" s="237" t="s">
        <v>397</v>
      </c>
      <c r="AD24" s="10" t="s">
        <v>93</v>
      </c>
    </row>
    <row r="25" spans="1:30" ht="26.7" customHeight="1" thickTop="1" x14ac:dyDescent="0.3">
      <c r="I25" s="156" t="s">
        <v>102</v>
      </c>
      <c r="J25" s="157">
        <f>SUM(J2:J24)</f>
        <v>0.80498400000000003</v>
      </c>
      <c r="N25" s="152"/>
      <c r="O25" s="64" t="s">
        <v>102</v>
      </c>
      <c r="P25" s="65">
        <f>SUM(P2:P24)</f>
        <v>0.83686533333333335</v>
      </c>
      <c r="Q25" s="88"/>
      <c r="T25" s="321"/>
      <c r="U25" s="64" t="s">
        <v>102</v>
      </c>
      <c r="V25" s="65">
        <f>SUM(V2:V24)</f>
        <v>0.86782250000000005</v>
      </c>
      <c r="W25" s="88"/>
      <c r="AA25" s="64" t="s">
        <v>102</v>
      </c>
      <c r="AB25" s="65">
        <f>SUM(AB2:AB24)</f>
        <v>0.88092350000000008</v>
      </c>
    </row>
    <row r="26" spans="1:30" ht="26.7" customHeight="1" x14ac:dyDescent="0.3">
      <c r="Q26" s="88"/>
    </row>
  </sheetData>
  <mergeCells count="117">
    <mergeCell ref="B22:B24"/>
    <mergeCell ref="B2:B13"/>
    <mergeCell ref="U2:U4"/>
    <mergeCell ref="L22:O23"/>
    <mergeCell ref="C2:C5"/>
    <mergeCell ref="X21:AA21"/>
    <mergeCell ref="R2:R4"/>
    <mergeCell ref="O6:O8"/>
    <mergeCell ref="U6:U8"/>
    <mergeCell ref="X16:AA16"/>
    <mergeCell ref="J10:J12"/>
    <mergeCell ref="B20:B21"/>
    <mergeCell ref="L24:O24"/>
    <mergeCell ref="R24:U24"/>
    <mergeCell ref="X24:AA24"/>
    <mergeCell ref="T6:T8"/>
    <mergeCell ref="P22:P23"/>
    <mergeCell ref="Q6:Q8"/>
    <mergeCell ref="T2:T4"/>
    <mergeCell ref="Z10:Z12"/>
    <mergeCell ref="N6:N8"/>
    <mergeCell ref="A20:A21"/>
    <mergeCell ref="J22:J23"/>
    <mergeCell ref="X22:AA23"/>
    <mergeCell ref="P6:P8"/>
    <mergeCell ref="S2:S4"/>
    <mergeCell ref="AA10:AA12"/>
    <mergeCell ref="V22:V23"/>
    <mergeCell ref="M6:M8"/>
    <mergeCell ref="R21:U21"/>
    <mergeCell ref="V6:V8"/>
    <mergeCell ref="Y2:Y4"/>
    <mergeCell ref="A14:A19"/>
    <mergeCell ref="X20:AA20"/>
    <mergeCell ref="Y6:Y8"/>
    <mergeCell ref="C20:C21"/>
    <mergeCell ref="W2:W4"/>
    <mergeCell ref="O2:O4"/>
    <mergeCell ref="Q20:Q21"/>
    <mergeCell ref="Q2:Q4"/>
    <mergeCell ref="A22:A24"/>
    <mergeCell ref="C22:C23"/>
    <mergeCell ref="I6:I8"/>
    <mergeCell ref="K6:K8"/>
    <mergeCell ref="Q22:Q23"/>
    <mergeCell ref="I2:I4"/>
    <mergeCell ref="R22:U23"/>
    <mergeCell ref="R16:U16"/>
    <mergeCell ref="AA6:AA8"/>
    <mergeCell ref="J6:J8"/>
    <mergeCell ref="M10:M12"/>
    <mergeCell ref="AD22:AD23"/>
    <mergeCell ref="X6:X8"/>
    <mergeCell ref="E10:E12"/>
    <mergeCell ref="Y10:Y12"/>
    <mergeCell ref="Q10:Q12"/>
    <mergeCell ref="S10:S12"/>
    <mergeCell ref="I10:I12"/>
    <mergeCell ref="V2:V4"/>
    <mergeCell ref="X2:X4"/>
    <mergeCell ref="U10:U12"/>
    <mergeCell ref="W10:W12"/>
    <mergeCell ref="AB22:AB23"/>
    <mergeCell ref="AC6:AC8"/>
    <mergeCell ref="AB10:AB12"/>
    <mergeCell ref="AB6:AB8"/>
    <mergeCell ref="AC10:AC12"/>
    <mergeCell ref="AC20:AC21"/>
    <mergeCell ref="AC22:AC23"/>
    <mergeCell ref="AD10:AD12"/>
    <mergeCell ref="D20:D21"/>
    <mergeCell ref="R6:R8"/>
    <mergeCell ref="T10:T12"/>
    <mergeCell ref="V10:V12"/>
    <mergeCell ref="AD6:AD8"/>
    <mergeCell ref="F2:F4"/>
    <mergeCell ref="R20:U20"/>
    <mergeCell ref="Z2:Z4"/>
    <mergeCell ref="AB2:AB4"/>
    <mergeCell ref="E2:E4"/>
    <mergeCell ref="AA2:AA4"/>
    <mergeCell ref="Z6:Z8"/>
    <mergeCell ref="AC2:AC4"/>
    <mergeCell ref="AD2:AD4"/>
    <mergeCell ref="D10:D13"/>
    <mergeCell ref="S6:S8"/>
    <mergeCell ref="L10:L12"/>
    <mergeCell ref="N10:N12"/>
    <mergeCell ref="X10:X12"/>
    <mergeCell ref="D2:D5"/>
    <mergeCell ref="K10:K12"/>
    <mergeCell ref="J2:J4"/>
    <mergeCell ref="L2:L4"/>
    <mergeCell ref="A2:A13"/>
    <mergeCell ref="K2:K4"/>
    <mergeCell ref="D6:D9"/>
    <mergeCell ref="W20:W21"/>
    <mergeCell ref="C10:C13"/>
    <mergeCell ref="I22:I23"/>
    <mergeCell ref="K22:K23"/>
    <mergeCell ref="L6:L8"/>
    <mergeCell ref="F10:F12"/>
    <mergeCell ref="W22:W23"/>
    <mergeCell ref="O10:O12"/>
    <mergeCell ref="B14:B19"/>
    <mergeCell ref="W6:W8"/>
    <mergeCell ref="P10:P12"/>
    <mergeCell ref="M2:M4"/>
    <mergeCell ref="R10:R12"/>
    <mergeCell ref="P2:P4"/>
    <mergeCell ref="E6:E8"/>
    <mergeCell ref="E22:E23"/>
    <mergeCell ref="N2:N4"/>
    <mergeCell ref="C6:C9"/>
    <mergeCell ref="D22:D23"/>
    <mergeCell ref="F22:F23"/>
    <mergeCell ref="F6:F8"/>
  </mergeCells>
  <printOptions horizontalCentered="1"/>
  <pageMargins left="0.23622047244094491" right="0.23622047244094491" top="0.74803149606299213" bottom="0.74803149606299213" header="0.31496062992125978" footer="0.31496062992125978"/>
  <pageSetup scale="43" fitToHeight="0"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Hoja19">
    <tabColor theme="7" tint="0.39997558519241921"/>
    <pageSetUpPr fitToPage="1"/>
  </sheetPr>
  <dimension ref="A1:AD26"/>
  <sheetViews>
    <sheetView topLeftCell="A13" zoomScale="49" zoomScaleNormal="106" zoomScaleSheetLayoutView="70" workbookViewId="0">
      <selection activeCell="V17" sqref="V17"/>
    </sheetView>
  </sheetViews>
  <sheetFormatPr baseColWidth="10" defaultColWidth="11.44140625" defaultRowHeight="21" x14ac:dyDescent="0.4"/>
  <cols>
    <col min="1" max="1" width="20.6640625" style="5" customWidth="1"/>
    <col min="2" max="2" width="9.109375" customWidth="1"/>
    <col min="3" max="3" width="19.6640625" style="4" customWidth="1"/>
    <col min="4" max="4" width="9.33203125" customWidth="1"/>
    <col min="5" max="5" width="34.88671875" style="3" customWidth="1"/>
    <col min="6" max="6" width="8" customWidth="1"/>
    <col min="7" max="7" width="68.109375" hidden="1" customWidth="1"/>
    <col min="8" max="8" width="10.109375" hidden="1" customWidth="1"/>
    <col min="9" max="9" width="25.6640625" style="2" hidden="1" customWidth="1"/>
    <col min="10" max="10" width="25.6640625" style="1" hidden="1" customWidth="1"/>
    <col min="11" max="11" width="83.33203125" hidden="1" customWidth="1"/>
    <col min="12" max="12" width="19" hidden="1" customWidth="1"/>
    <col min="13" max="13" width="26.6640625" hidden="1" customWidth="1"/>
    <col min="14" max="14" width="19" hidden="1" customWidth="1"/>
    <col min="15" max="15" width="21.33203125" hidden="1" customWidth="1"/>
    <col min="16" max="16" width="14.44140625" hidden="1" customWidth="1"/>
    <col min="17" max="17" width="103.44140625" style="4" hidden="1" customWidth="1"/>
    <col min="18" max="22" width="27.88671875" customWidth="1"/>
    <col min="23" max="23" width="95.33203125" customWidth="1"/>
    <col min="24" max="28" width="20.33203125" customWidth="1"/>
    <col min="29" max="29" width="93.88671875" customWidth="1"/>
    <col min="30" max="30" width="39.5546875" customWidth="1"/>
  </cols>
  <sheetData>
    <row r="1" spans="1:30" s="28" customFormat="1" ht="51.45" customHeight="1" thickTop="1" thickBot="1" x14ac:dyDescent="0.35">
      <c r="A1" s="153" t="s">
        <v>0</v>
      </c>
      <c r="B1" s="153" t="s">
        <v>1</v>
      </c>
      <c r="C1" s="153" t="s">
        <v>2</v>
      </c>
      <c r="D1" s="153" t="s">
        <v>3</v>
      </c>
      <c r="E1" s="153" t="s">
        <v>4</v>
      </c>
      <c r="F1" s="153" t="s">
        <v>5</v>
      </c>
      <c r="G1" s="153" t="s">
        <v>6</v>
      </c>
      <c r="H1" s="153" t="s">
        <v>7</v>
      </c>
      <c r="I1" s="153" t="s">
        <v>8</v>
      </c>
      <c r="J1" s="153" t="s">
        <v>9</v>
      </c>
      <c r="K1" s="160" t="s">
        <v>10</v>
      </c>
      <c r="L1" s="153" t="s">
        <v>11</v>
      </c>
      <c r="M1" s="153" t="s">
        <v>12</v>
      </c>
      <c r="N1" s="153" t="s">
        <v>13</v>
      </c>
      <c r="O1" s="153" t="s">
        <v>14</v>
      </c>
      <c r="P1" s="153" t="s">
        <v>15</v>
      </c>
      <c r="Q1" s="160" t="s">
        <v>16</v>
      </c>
      <c r="R1" s="153" t="s">
        <v>17</v>
      </c>
      <c r="S1" s="153" t="s">
        <v>18</v>
      </c>
      <c r="T1" s="153" t="s">
        <v>19</v>
      </c>
      <c r="U1" s="153" t="s">
        <v>20</v>
      </c>
      <c r="V1" s="153" t="s">
        <v>21</v>
      </c>
      <c r="W1" s="160" t="s">
        <v>22</v>
      </c>
      <c r="X1" s="153" t="s">
        <v>23</v>
      </c>
      <c r="Y1" s="153" t="s">
        <v>24</v>
      </c>
      <c r="Z1" s="153" t="s">
        <v>25</v>
      </c>
      <c r="AA1" s="153" t="s">
        <v>26</v>
      </c>
      <c r="AB1" s="153" t="s">
        <v>27</v>
      </c>
      <c r="AC1" s="160" t="s">
        <v>28</v>
      </c>
      <c r="AD1" s="28" t="s">
        <v>29</v>
      </c>
    </row>
    <row r="2" spans="1:30" ht="18.600000000000001" customHeight="1" thickTop="1" thickBot="1" x14ac:dyDescent="0.35">
      <c r="A2" s="408" t="s">
        <v>30</v>
      </c>
      <c r="B2" s="428">
        <v>0.2</v>
      </c>
      <c r="C2" s="429" t="s">
        <v>31</v>
      </c>
      <c r="D2" s="419">
        <f>$B$2/3</f>
        <v>6.6666666666666666E-2</v>
      </c>
      <c r="E2" s="418" t="s">
        <v>32</v>
      </c>
      <c r="F2" s="417">
        <f>$B$2/6</f>
        <v>3.3333333333333333E-2</v>
      </c>
      <c r="G2" s="56" t="s">
        <v>33</v>
      </c>
      <c r="H2" s="26">
        <v>1</v>
      </c>
      <c r="I2" s="349">
        <v>1</v>
      </c>
      <c r="J2" s="358">
        <f>I2*$F$2</f>
        <v>3.3333333333333333E-2</v>
      </c>
      <c r="K2" s="410" t="s">
        <v>398</v>
      </c>
      <c r="L2" s="349">
        <v>0.8</v>
      </c>
      <c r="M2" s="358">
        <f>L2*$F$2</f>
        <v>2.6666666666666668E-2</v>
      </c>
      <c r="N2" s="349">
        <v>1</v>
      </c>
      <c r="O2" s="358">
        <f>N2*$F$2</f>
        <v>3.3333333333333333E-2</v>
      </c>
      <c r="P2" s="358">
        <f>AVERAGE(M2,O2)</f>
        <v>0.03</v>
      </c>
      <c r="Q2" s="485" t="s">
        <v>399</v>
      </c>
      <c r="R2" s="349">
        <v>1</v>
      </c>
      <c r="S2" s="358">
        <f>R2*$F$2</f>
        <v>3.3333333333333333E-2</v>
      </c>
      <c r="T2" s="349">
        <v>1</v>
      </c>
      <c r="U2" s="358">
        <f>T2*$F$2</f>
        <v>3.3333333333333333E-2</v>
      </c>
      <c r="V2" s="350">
        <f>AVERAGE(S2,U2)</f>
        <v>3.3333333333333333E-2</v>
      </c>
      <c r="W2" s="360" t="s">
        <v>399</v>
      </c>
      <c r="X2" s="351">
        <v>0</v>
      </c>
      <c r="Y2" s="358">
        <f>X2*$F$2</f>
        <v>0</v>
      </c>
      <c r="Z2" s="349">
        <v>0</v>
      </c>
      <c r="AA2" s="358">
        <f>Z2*$F$2</f>
        <v>0</v>
      </c>
      <c r="AB2" s="350">
        <f>AVERAGE(Y2,AA2)</f>
        <v>0</v>
      </c>
      <c r="AC2" s="480" t="s">
        <v>37</v>
      </c>
      <c r="AD2" s="393" t="s">
        <v>38</v>
      </c>
    </row>
    <row r="3" spans="1:30" ht="18.600000000000001" customHeight="1" thickTop="1" thickBot="1" x14ac:dyDescent="0.35">
      <c r="A3" s="388"/>
      <c r="B3" s="341"/>
      <c r="C3" s="392"/>
      <c r="D3" s="341"/>
      <c r="E3" s="397"/>
      <c r="F3" s="341"/>
      <c r="G3" s="40" t="s">
        <v>39</v>
      </c>
      <c r="H3" s="26">
        <v>0.8</v>
      </c>
      <c r="I3" s="336"/>
      <c r="J3" s="336"/>
      <c r="K3" s="336"/>
      <c r="L3" s="336"/>
      <c r="M3" s="336"/>
      <c r="N3" s="336"/>
      <c r="O3" s="336"/>
      <c r="P3" s="336"/>
      <c r="Q3" s="336"/>
      <c r="R3" s="336"/>
      <c r="S3" s="336"/>
      <c r="T3" s="336"/>
      <c r="U3" s="336"/>
      <c r="V3" s="347"/>
      <c r="W3" s="361"/>
      <c r="X3" s="352"/>
      <c r="Y3" s="336"/>
      <c r="Z3" s="336"/>
      <c r="AA3" s="336"/>
      <c r="AB3" s="347"/>
      <c r="AC3" s="361"/>
      <c r="AD3" s="341"/>
    </row>
    <row r="4" spans="1:30" ht="18.600000000000001" customHeight="1" thickTop="1" thickBot="1" x14ac:dyDescent="0.35">
      <c r="A4" s="388"/>
      <c r="B4" s="341"/>
      <c r="C4" s="392"/>
      <c r="D4" s="341"/>
      <c r="E4" s="389"/>
      <c r="F4" s="389"/>
      <c r="G4" s="40" t="s">
        <v>40</v>
      </c>
      <c r="H4" s="25">
        <v>0</v>
      </c>
      <c r="I4" s="332"/>
      <c r="J4" s="332"/>
      <c r="K4" s="332"/>
      <c r="L4" s="332"/>
      <c r="M4" s="332"/>
      <c r="N4" s="332"/>
      <c r="O4" s="332"/>
      <c r="P4" s="332"/>
      <c r="Q4" s="332"/>
      <c r="R4" s="332"/>
      <c r="S4" s="332"/>
      <c r="T4" s="332"/>
      <c r="U4" s="332"/>
      <c r="V4" s="334"/>
      <c r="W4" s="362"/>
      <c r="X4" s="354"/>
      <c r="Y4" s="332"/>
      <c r="Z4" s="332"/>
      <c r="AA4" s="332"/>
      <c r="AB4" s="334"/>
      <c r="AC4" s="362"/>
      <c r="AD4" s="389"/>
    </row>
    <row r="5" spans="1:30" ht="87" customHeight="1" thickTop="1" thickBot="1" x14ac:dyDescent="0.35">
      <c r="A5" s="388"/>
      <c r="B5" s="341"/>
      <c r="C5" s="389"/>
      <c r="D5" s="389"/>
      <c r="E5" s="12" t="s">
        <v>41</v>
      </c>
      <c r="F5" s="24">
        <f>$B$2/6</f>
        <v>3.3333333333333333E-2</v>
      </c>
      <c r="G5" s="40" t="s">
        <v>42</v>
      </c>
      <c r="H5" s="23" t="s">
        <v>43</v>
      </c>
      <c r="I5" s="43">
        <v>0.7</v>
      </c>
      <c r="J5" s="48">
        <f>I5*$F$5</f>
        <v>2.3333333333333331E-2</v>
      </c>
      <c r="K5" s="45" t="s">
        <v>400</v>
      </c>
      <c r="L5" s="43">
        <v>0.7</v>
      </c>
      <c r="M5" s="48">
        <f>L5*$F$5</f>
        <v>2.3333333333333331E-2</v>
      </c>
      <c r="N5" s="43">
        <v>1</v>
      </c>
      <c r="O5" s="48">
        <f>N5*$F$5</f>
        <v>3.3333333333333333E-2</v>
      </c>
      <c r="P5" s="48">
        <f>AVERAGE(M5,O5)</f>
        <v>2.8333333333333332E-2</v>
      </c>
      <c r="Q5" s="47" t="s">
        <v>123</v>
      </c>
      <c r="R5" s="43">
        <v>1</v>
      </c>
      <c r="S5" s="48">
        <f>R5*$F$5</f>
        <v>3.3333333333333333E-2</v>
      </c>
      <c r="T5" s="43">
        <v>1</v>
      </c>
      <c r="U5" s="48">
        <f>T5*$F$5</f>
        <v>3.3333333333333333E-2</v>
      </c>
      <c r="V5" s="165">
        <f>AVERAGE(S5,U5)</f>
        <v>3.3333333333333333E-2</v>
      </c>
      <c r="W5" s="231" t="s">
        <v>125</v>
      </c>
      <c r="X5" s="201">
        <v>0</v>
      </c>
      <c r="Y5" s="48">
        <f>X5*$F$5</f>
        <v>0</v>
      </c>
      <c r="Z5" s="43">
        <v>0</v>
      </c>
      <c r="AA5" s="48">
        <f>Z5*$F$5</f>
        <v>0</v>
      </c>
      <c r="AB5" s="165">
        <f>AVERAGE(Y5,AA5)</f>
        <v>0</v>
      </c>
      <c r="AC5" s="231" t="s">
        <v>37</v>
      </c>
      <c r="AD5" s="12" t="s">
        <v>38</v>
      </c>
    </row>
    <row r="6" spans="1:30" ht="18.600000000000001" customHeight="1" thickTop="1" thickBot="1" x14ac:dyDescent="0.35">
      <c r="A6" s="388"/>
      <c r="B6" s="341"/>
      <c r="C6" s="391" t="s">
        <v>200</v>
      </c>
      <c r="D6" s="409">
        <f>$B$2/3</f>
        <v>6.6666666666666666E-2</v>
      </c>
      <c r="E6" s="393" t="s">
        <v>32</v>
      </c>
      <c r="F6" s="413">
        <f>$B$2/6</f>
        <v>3.3333333333333333E-2</v>
      </c>
      <c r="G6" s="40" t="s">
        <v>33</v>
      </c>
      <c r="H6" s="27">
        <v>1</v>
      </c>
      <c r="I6" s="359">
        <v>1</v>
      </c>
      <c r="J6" s="368">
        <f>I6*$F$6</f>
        <v>3.3333333333333333E-2</v>
      </c>
      <c r="K6" s="448" t="s">
        <v>305</v>
      </c>
      <c r="L6" s="359">
        <v>1</v>
      </c>
      <c r="M6" s="368">
        <f>L6*$F$6</f>
        <v>3.3333333333333333E-2</v>
      </c>
      <c r="N6" s="359">
        <v>1</v>
      </c>
      <c r="O6" s="368">
        <f>N6*$F$6</f>
        <v>3.3333333333333333E-2</v>
      </c>
      <c r="P6" s="368">
        <f>AVERAGE(M6,O6)</f>
        <v>3.3333333333333333E-2</v>
      </c>
      <c r="Q6" s="412" t="s">
        <v>401</v>
      </c>
      <c r="R6" s="359">
        <v>1</v>
      </c>
      <c r="S6" s="368">
        <f>R6*$F$6</f>
        <v>3.3333333333333333E-2</v>
      </c>
      <c r="T6" s="359">
        <v>1</v>
      </c>
      <c r="U6" s="368">
        <f>T6*$F$6</f>
        <v>3.3333333333333333E-2</v>
      </c>
      <c r="V6" s="386">
        <f>AVERAGE(S6,U6)</f>
        <v>3.3333333333333333E-2</v>
      </c>
      <c r="W6" s="431" t="s">
        <v>402</v>
      </c>
      <c r="X6" s="366">
        <v>1</v>
      </c>
      <c r="Y6" s="368">
        <f>X6*$F$6</f>
        <v>3.3333333333333333E-2</v>
      </c>
      <c r="Z6" s="359">
        <v>1</v>
      </c>
      <c r="AA6" s="368">
        <f>Z6*$F$6</f>
        <v>3.3333333333333333E-2</v>
      </c>
      <c r="AB6" s="386">
        <f>AVERAGE(Y6,AA6)</f>
        <v>3.3333333333333333E-2</v>
      </c>
      <c r="AC6" s="431" t="s">
        <v>402</v>
      </c>
      <c r="AD6" s="393" t="s">
        <v>38</v>
      </c>
    </row>
    <row r="7" spans="1:30" ht="18.600000000000001" customHeight="1" thickTop="1" thickBot="1" x14ac:dyDescent="0.35">
      <c r="A7" s="388"/>
      <c r="B7" s="341"/>
      <c r="C7" s="392"/>
      <c r="D7" s="341"/>
      <c r="E7" s="397"/>
      <c r="F7" s="341"/>
      <c r="G7" s="40" t="s">
        <v>39</v>
      </c>
      <c r="H7" s="26">
        <v>0.8</v>
      </c>
      <c r="I7" s="336"/>
      <c r="J7" s="336"/>
      <c r="K7" s="336"/>
      <c r="L7" s="336"/>
      <c r="M7" s="336"/>
      <c r="N7" s="336"/>
      <c r="O7" s="336"/>
      <c r="P7" s="336"/>
      <c r="Q7" s="336"/>
      <c r="R7" s="336"/>
      <c r="S7" s="336"/>
      <c r="T7" s="336"/>
      <c r="U7" s="336"/>
      <c r="V7" s="347"/>
      <c r="W7" s="361"/>
      <c r="X7" s="352"/>
      <c r="Y7" s="336"/>
      <c r="Z7" s="336"/>
      <c r="AA7" s="336"/>
      <c r="AB7" s="347"/>
      <c r="AC7" s="361"/>
      <c r="AD7" s="341"/>
    </row>
    <row r="8" spans="1:30" ht="55.5" customHeight="1" thickTop="1" thickBot="1" x14ac:dyDescent="0.35">
      <c r="A8" s="388"/>
      <c r="B8" s="341"/>
      <c r="C8" s="392"/>
      <c r="D8" s="341"/>
      <c r="E8" s="389"/>
      <c r="F8" s="389"/>
      <c r="G8" s="40" t="s">
        <v>40</v>
      </c>
      <c r="H8" s="25">
        <v>0</v>
      </c>
      <c r="I8" s="332"/>
      <c r="J8" s="332"/>
      <c r="K8" s="332"/>
      <c r="L8" s="332"/>
      <c r="M8" s="332"/>
      <c r="N8" s="332"/>
      <c r="O8" s="332"/>
      <c r="P8" s="332"/>
      <c r="Q8" s="332"/>
      <c r="R8" s="332"/>
      <c r="S8" s="332"/>
      <c r="T8" s="332"/>
      <c r="U8" s="332"/>
      <c r="V8" s="334"/>
      <c r="W8" s="362"/>
      <c r="X8" s="354"/>
      <c r="Y8" s="332"/>
      <c r="Z8" s="332"/>
      <c r="AA8" s="332"/>
      <c r="AB8" s="334"/>
      <c r="AC8" s="362"/>
      <c r="AD8" s="389"/>
    </row>
    <row r="9" spans="1:30" ht="75" customHeight="1" thickTop="1" thickBot="1" x14ac:dyDescent="0.35">
      <c r="A9" s="388"/>
      <c r="B9" s="341"/>
      <c r="C9" s="389"/>
      <c r="D9" s="389"/>
      <c r="E9" s="12" t="s">
        <v>41</v>
      </c>
      <c r="F9" s="24">
        <f>$B$2/6</f>
        <v>3.3333333333333333E-2</v>
      </c>
      <c r="G9" s="40" t="s">
        <v>42</v>
      </c>
      <c r="H9" s="23" t="s">
        <v>43</v>
      </c>
      <c r="I9" s="43">
        <v>1</v>
      </c>
      <c r="J9" s="48">
        <f>I9*$F$9</f>
        <v>3.3333333333333333E-2</v>
      </c>
      <c r="K9" s="45" t="s">
        <v>305</v>
      </c>
      <c r="L9" s="43">
        <v>1</v>
      </c>
      <c r="M9" s="48">
        <f>L9*$F$9</f>
        <v>3.3333333333333333E-2</v>
      </c>
      <c r="N9" s="43">
        <v>1</v>
      </c>
      <c r="O9" s="48">
        <f>N9*$F$9</f>
        <v>3.3333333333333333E-2</v>
      </c>
      <c r="P9" s="48">
        <f>AVERAGE(M9,O9)</f>
        <v>3.3333333333333333E-2</v>
      </c>
      <c r="Q9" s="47" t="s">
        <v>401</v>
      </c>
      <c r="R9" s="43">
        <v>1</v>
      </c>
      <c r="S9" s="48">
        <f>R9*$F$9</f>
        <v>3.3333333333333333E-2</v>
      </c>
      <c r="T9" s="43">
        <v>1</v>
      </c>
      <c r="U9" s="48">
        <f>T9*$F$9</f>
        <v>3.3333333333333333E-2</v>
      </c>
      <c r="V9" s="165">
        <f>AVERAGE(S9,U9)</f>
        <v>3.3333333333333333E-2</v>
      </c>
      <c r="W9" s="232" t="s">
        <v>307</v>
      </c>
      <c r="X9" s="201">
        <v>1</v>
      </c>
      <c r="Y9" s="48">
        <f>X9*$F$9</f>
        <v>3.3333333333333333E-2</v>
      </c>
      <c r="Z9" s="43">
        <v>1</v>
      </c>
      <c r="AA9" s="48">
        <f>Z9*$F$9</f>
        <v>3.3333333333333333E-2</v>
      </c>
      <c r="AB9" s="165">
        <f>AVERAGE(Y9,AA9)</f>
        <v>3.3333333333333333E-2</v>
      </c>
      <c r="AC9" s="232" t="s">
        <v>307</v>
      </c>
      <c r="AD9" s="12" t="s">
        <v>38</v>
      </c>
    </row>
    <row r="10" spans="1:30" ht="18.600000000000001" customHeight="1" thickTop="1" thickBot="1" x14ac:dyDescent="0.35">
      <c r="A10" s="388"/>
      <c r="B10" s="341"/>
      <c r="C10" s="391" t="s">
        <v>46</v>
      </c>
      <c r="D10" s="409">
        <f>$B$2/3</f>
        <v>6.6666666666666666E-2</v>
      </c>
      <c r="E10" s="393" t="s">
        <v>32</v>
      </c>
      <c r="F10" s="413">
        <f>$B$2/6</f>
        <v>3.3333333333333333E-2</v>
      </c>
      <c r="G10" s="40" t="s">
        <v>33</v>
      </c>
      <c r="H10" s="27">
        <v>1</v>
      </c>
      <c r="I10" s="359">
        <v>1</v>
      </c>
      <c r="J10" s="368">
        <f>I10*$F$10</f>
        <v>3.3333333333333333E-2</v>
      </c>
      <c r="K10" s="412" t="s">
        <v>245</v>
      </c>
      <c r="L10" s="359">
        <v>1</v>
      </c>
      <c r="M10" s="368">
        <f>L10*$F$10</f>
        <v>3.3333333333333333E-2</v>
      </c>
      <c r="N10" s="359">
        <v>1</v>
      </c>
      <c r="O10" s="368">
        <f>N10*$F$10</f>
        <v>3.3333333333333333E-2</v>
      </c>
      <c r="P10" s="368">
        <f>AVERAGE(M10,O10)</f>
        <v>3.3333333333333333E-2</v>
      </c>
      <c r="Q10" s="481" t="s">
        <v>129</v>
      </c>
      <c r="R10" s="359">
        <v>0.8</v>
      </c>
      <c r="S10" s="368">
        <f>R10*$F$10</f>
        <v>2.6666666666666668E-2</v>
      </c>
      <c r="T10" s="359">
        <v>0.8</v>
      </c>
      <c r="U10" s="368">
        <f>T10*$F$10</f>
        <v>2.6666666666666668E-2</v>
      </c>
      <c r="V10" s="386">
        <f>AVERAGE(S10,U10)</f>
        <v>2.6666666666666668E-2</v>
      </c>
      <c r="W10" s="486" t="s">
        <v>403</v>
      </c>
      <c r="X10" s="366">
        <v>0.8</v>
      </c>
      <c r="Y10" s="368">
        <f>X10*$F$10</f>
        <v>2.6666666666666668E-2</v>
      </c>
      <c r="Z10" s="359">
        <v>0.8</v>
      </c>
      <c r="AA10" s="368">
        <f>Z10*$F$10</f>
        <v>2.6666666666666668E-2</v>
      </c>
      <c r="AB10" s="386">
        <f>AVERAGE(Y10,AA10)</f>
        <v>2.6666666666666668E-2</v>
      </c>
      <c r="AC10" s="486" t="s">
        <v>404</v>
      </c>
      <c r="AD10" s="393" t="s">
        <v>38</v>
      </c>
    </row>
    <row r="11" spans="1:30" ht="18.600000000000001" customHeight="1" thickTop="1" thickBot="1" x14ac:dyDescent="0.35">
      <c r="A11" s="388"/>
      <c r="B11" s="341"/>
      <c r="C11" s="392"/>
      <c r="D11" s="341"/>
      <c r="E11" s="397"/>
      <c r="F11" s="341"/>
      <c r="G11" s="40" t="s">
        <v>39</v>
      </c>
      <c r="H11" s="26">
        <v>0.8</v>
      </c>
      <c r="I11" s="336"/>
      <c r="J11" s="336"/>
      <c r="K11" s="336"/>
      <c r="L11" s="336"/>
      <c r="M11" s="336"/>
      <c r="N11" s="336"/>
      <c r="O11" s="336"/>
      <c r="P11" s="336"/>
      <c r="Q11" s="336"/>
      <c r="R11" s="336"/>
      <c r="S11" s="336"/>
      <c r="T11" s="336"/>
      <c r="U11" s="336"/>
      <c r="V11" s="347"/>
      <c r="W11" s="361"/>
      <c r="X11" s="352"/>
      <c r="Y11" s="336"/>
      <c r="Z11" s="336"/>
      <c r="AA11" s="336"/>
      <c r="AB11" s="347"/>
      <c r="AC11" s="361"/>
      <c r="AD11" s="341"/>
    </row>
    <row r="12" spans="1:30" ht="46.95" customHeight="1" thickTop="1" thickBot="1" x14ac:dyDescent="0.35">
      <c r="A12" s="388"/>
      <c r="B12" s="341"/>
      <c r="C12" s="392"/>
      <c r="D12" s="341"/>
      <c r="E12" s="389"/>
      <c r="F12" s="389"/>
      <c r="G12" s="40" t="s">
        <v>40</v>
      </c>
      <c r="H12" s="25">
        <v>0.5</v>
      </c>
      <c r="I12" s="332"/>
      <c r="J12" s="332"/>
      <c r="K12" s="332"/>
      <c r="L12" s="332"/>
      <c r="M12" s="332"/>
      <c r="N12" s="332"/>
      <c r="O12" s="332"/>
      <c r="P12" s="332"/>
      <c r="Q12" s="336"/>
      <c r="R12" s="332"/>
      <c r="S12" s="332"/>
      <c r="T12" s="332"/>
      <c r="U12" s="332"/>
      <c r="V12" s="334"/>
      <c r="W12" s="361"/>
      <c r="X12" s="354"/>
      <c r="Y12" s="332"/>
      <c r="Z12" s="332"/>
      <c r="AA12" s="332"/>
      <c r="AB12" s="334"/>
      <c r="AC12" s="361"/>
      <c r="AD12" s="389"/>
    </row>
    <row r="13" spans="1:30" ht="113.25" customHeight="1" thickTop="1" thickBot="1" x14ac:dyDescent="0.35">
      <c r="A13" s="389"/>
      <c r="B13" s="389"/>
      <c r="C13" s="389"/>
      <c r="D13" s="389"/>
      <c r="E13" s="12" t="s">
        <v>41</v>
      </c>
      <c r="F13" s="24">
        <f>$B$2/6</f>
        <v>3.3333333333333333E-2</v>
      </c>
      <c r="G13" s="40" t="s">
        <v>42</v>
      </c>
      <c r="H13" s="23" t="s">
        <v>43</v>
      </c>
      <c r="I13" s="43">
        <v>1</v>
      </c>
      <c r="J13" s="48">
        <f>I13*$F$13</f>
        <v>3.3333333333333333E-2</v>
      </c>
      <c r="K13" s="47" t="s">
        <v>405</v>
      </c>
      <c r="L13" s="151">
        <v>0.8</v>
      </c>
      <c r="M13" s="147">
        <f>L13*$F$13</f>
        <v>2.6666666666666668E-2</v>
      </c>
      <c r="N13" s="151">
        <v>0.8</v>
      </c>
      <c r="O13" s="147">
        <f>N13*$F$13</f>
        <v>2.6666666666666668E-2</v>
      </c>
      <c r="P13" s="147">
        <f t="shared" ref="P13:P21" si="0">AVERAGE(M13,O13)</f>
        <v>2.6666666666666668E-2</v>
      </c>
      <c r="Q13" s="187" t="s">
        <v>406</v>
      </c>
      <c r="R13" s="151">
        <v>0.8</v>
      </c>
      <c r="S13" s="147">
        <f>R13*$F$13</f>
        <v>2.6666666666666668E-2</v>
      </c>
      <c r="T13" s="151">
        <v>0.8</v>
      </c>
      <c r="U13" s="147">
        <f>T13*$F$13</f>
        <v>2.6666666666666668E-2</v>
      </c>
      <c r="V13" s="161">
        <f>AVERAGE(S13,U13)</f>
        <v>2.6666666666666668E-2</v>
      </c>
      <c r="W13" s="236" t="s">
        <v>403</v>
      </c>
      <c r="X13" s="182">
        <v>0.8</v>
      </c>
      <c r="Y13" s="147">
        <f>X13*$F$13</f>
        <v>2.6666666666666668E-2</v>
      </c>
      <c r="Z13" s="151">
        <v>0.8</v>
      </c>
      <c r="AA13" s="147">
        <f>Z13*$F$13</f>
        <v>2.6666666666666668E-2</v>
      </c>
      <c r="AB13" s="161">
        <f>AVERAGE(Y13,AA13)</f>
        <v>2.6666666666666668E-2</v>
      </c>
      <c r="AC13" s="234" t="s">
        <v>407</v>
      </c>
      <c r="AD13" s="12" t="s">
        <v>38</v>
      </c>
    </row>
    <row r="14" spans="1:30" ht="78" customHeight="1" thickTop="1" thickBot="1" x14ac:dyDescent="0.35">
      <c r="A14" s="422" t="s">
        <v>55</v>
      </c>
      <c r="B14" s="414">
        <v>0.25</v>
      </c>
      <c r="C14" s="30" t="s">
        <v>31</v>
      </c>
      <c r="D14" s="20">
        <v>0.05</v>
      </c>
      <c r="E14" s="10" t="s">
        <v>56</v>
      </c>
      <c r="F14" s="20">
        <v>0.05</v>
      </c>
      <c r="G14" s="32" t="s">
        <v>57</v>
      </c>
      <c r="H14" s="19" t="s">
        <v>43</v>
      </c>
      <c r="I14" s="43">
        <v>0.75</v>
      </c>
      <c r="J14" s="48">
        <f>I14*$F$14</f>
        <v>3.7500000000000006E-2</v>
      </c>
      <c r="K14" s="47" t="s">
        <v>281</v>
      </c>
      <c r="L14" s="151">
        <v>1</v>
      </c>
      <c r="M14" s="147">
        <f>L14*$F$14</f>
        <v>0.05</v>
      </c>
      <c r="N14" s="151">
        <v>1</v>
      </c>
      <c r="O14" s="147">
        <f>N14*$F$14</f>
        <v>0.05</v>
      </c>
      <c r="P14" s="161">
        <f t="shared" si="0"/>
        <v>0.05</v>
      </c>
      <c r="Q14" s="162" t="s">
        <v>134</v>
      </c>
      <c r="R14" s="151">
        <v>1</v>
      </c>
      <c r="S14" s="147">
        <f>R14*$F$14</f>
        <v>0.05</v>
      </c>
      <c r="T14" s="151">
        <v>1</v>
      </c>
      <c r="U14" s="147">
        <f>T14*$F$14</f>
        <v>0.05</v>
      </c>
      <c r="V14" s="161">
        <f>AVERAGE(S14,U14)</f>
        <v>0.05</v>
      </c>
      <c r="W14" s="233" t="s">
        <v>134</v>
      </c>
      <c r="X14" s="182">
        <v>0</v>
      </c>
      <c r="Y14" s="147">
        <f>X14*$F$14</f>
        <v>0</v>
      </c>
      <c r="Z14" s="151">
        <v>0</v>
      </c>
      <c r="AA14" s="147">
        <f>Z14*$F$14</f>
        <v>0</v>
      </c>
      <c r="AB14" s="161">
        <f>AVERAGE(Y14,AA14)</f>
        <v>0</v>
      </c>
      <c r="AC14" s="234" t="s">
        <v>37</v>
      </c>
      <c r="AD14" s="10" t="s">
        <v>38</v>
      </c>
    </row>
    <row r="15" spans="1:30" ht="161.4" customHeight="1" thickTop="1" thickBot="1" x14ac:dyDescent="0.35">
      <c r="A15" s="388"/>
      <c r="B15" s="341"/>
      <c r="C15" s="30" t="s">
        <v>200</v>
      </c>
      <c r="D15" s="20">
        <v>0.05</v>
      </c>
      <c r="E15" s="10" t="s">
        <v>213</v>
      </c>
      <c r="F15" s="20">
        <v>0.05</v>
      </c>
      <c r="G15" s="33" t="s">
        <v>214</v>
      </c>
      <c r="H15" s="19" t="s">
        <v>43</v>
      </c>
      <c r="I15" s="43">
        <v>0.98750000000000004</v>
      </c>
      <c r="J15" s="48">
        <f>I15*$F$15</f>
        <v>4.9375000000000002E-2</v>
      </c>
      <c r="K15" s="45" t="s">
        <v>408</v>
      </c>
      <c r="L15" s="151">
        <v>0.98119999999999996</v>
      </c>
      <c r="M15" s="147">
        <f>L15*$F$15</f>
        <v>4.9059999999999999E-2</v>
      </c>
      <c r="N15" s="151">
        <v>0.98250000000000004</v>
      </c>
      <c r="O15" s="147">
        <f>N15*$F$15</f>
        <v>4.9125000000000002E-2</v>
      </c>
      <c r="P15" s="161">
        <f t="shared" si="0"/>
        <v>4.9092499999999997E-2</v>
      </c>
      <c r="Q15" s="188" t="s">
        <v>408</v>
      </c>
      <c r="R15" s="151">
        <v>1</v>
      </c>
      <c r="S15" s="147">
        <f>R15*$F$15</f>
        <v>0.05</v>
      </c>
      <c r="T15" s="151">
        <v>1</v>
      </c>
      <c r="U15" s="147">
        <f>T15*$F$15</f>
        <v>0.05</v>
      </c>
      <c r="V15" s="161">
        <f>AVERAGE(S15,U15)</f>
        <v>0.05</v>
      </c>
      <c r="W15" s="234" t="s">
        <v>312</v>
      </c>
      <c r="X15" s="182">
        <v>0.98399999999999999</v>
      </c>
      <c r="Y15" s="147">
        <f>X15*$F$15</f>
        <v>4.9200000000000001E-2</v>
      </c>
      <c r="Z15" s="151">
        <v>0.64600000000000002</v>
      </c>
      <c r="AA15" s="147">
        <f>Z15*$F$15</f>
        <v>3.2300000000000002E-2</v>
      </c>
      <c r="AB15" s="161">
        <f>AVERAGE(Y15,AA15)</f>
        <v>4.0750000000000001E-2</v>
      </c>
      <c r="AC15" s="234" t="s">
        <v>312</v>
      </c>
      <c r="AD15" s="10" t="s">
        <v>38</v>
      </c>
    </row>
    <row r="16" spans="1:30" ht="83.4" customHeight="1" thickTop="1" thickBot="1" x14ac:dyDescent="0.35">
      <c r="A16" s="388"/>
      <c r="B16" s="341"/>
      <c r="C16" s="30" t="s">
        <v>135</v>
      </c>
      <c r="D16" s="20">
        <v>0.05</v>
      </c>
      <c r="E16" s="10" t="s">
        <v>136</v>
      </c>
      <c r="F16" s="20">
        <v>0.05</v>
      </c>
      <c r="G16" s="32" t="s">
        <v>137</v>
      </c>
      <c r="H16" s="19" t="s">
        <v>43</v>
      </c>
      <c r="I16" s="43">
        <v>0.81</v>
      </c>
      <c r="J16" s="48">
        <f>I16*$F$16</f>
        <v>4.0500000000000008E-2</v>
      </c>
      <c r="K16" s="45" t="s">
        <v>174</v>
      </c>
      <c r="L16" s="43">
        <v>0.81</v>
      </c>
      <c r="M16" s="145">
        <f>L16*$F$16</f>
        <v>4.0500000000000008E-2</v>
      </c>
      <c r="N16" s="43">
        <v>0.81</v>
      </c>
      <c r="O16" s="145">
        <f>N16*$F$16</f>
        <v>4.0500000000000008E-2</v>
      </c>
      <c r="P16" s="145">
        <f t="shared" si="0"/>
        <v>4.0500000000000008E-2</v>
      </c>
      <c r="Q16" s="146" t="s">
        <v>139</v>
      </c>
      <c r="R16" s="349">
        <v>0.81</v>
      </c>
      <c r="S16" s="353"/>
      <c r="T16" s="353"/>
      <c r="U16" s="354"/>
      <c r="V16" s="202">
        <f>R16*F16</f>
        <v>4.0500000000000008E-2</v>
      </c>
      <c r="W16" s="305" t="s">
        <v>140</v>
      </c>
      <c r="X16" s="430">
        <v>0.95</v>
      </c>
      <c r="Y16" s="353"/>
      <c r="Z16" s="353"/>
      <c r="AA16" s="354"/>
      <c r="AB16" s="202">
        <f>X16*D16</f>
        <v>4.7500000000000001E-2</v>
      </c>
      <c r="AC16" s="305" t="s">
        <v>141</v>
      </c>
      <c r="AD16" s="10" t="s">
        <v>82</v>
      </c>
    </row>
    <row r="17" spans="1:30" ht="83.4" customHeight="1" thickTop="1" thickBot="1" x14ac:dyDescent="0.35">
      <c r="A17" s="388"/>
      <c r="B17" s="341"/>
      <c r="C17" s="29" t="s">
        <v>142</v>
      </c>
      <c r="D17" s="22">
        <v>0.05</v>
      </c>
      <c r="E17" s="12" t="s">
        <v>143</v>
      </c>
      <c r="F17" s="22">
        <v>0.05</v>
      </c>
      <c r="G17" s="34" t="s">
        <v>144</v>
      </c>
      <c r="H17" s="21" t="s">
        <v>43</v>
      </c>
      <c r="I17" s="43">
        <v>1</v>
      </c>
      <c r="J17" s="48">
        <f>I17*$F$17</f>
        <v>0.05</v>
      </c>
      <c r="K17" s="47" t="s">
        <v>409</v>
      </c>
      <c r="L17" s="43">
        <v>1</v>
      </c>
      <c r="M17" s="48">
        <f>L17*$F$17</f>
        <v>0.05</v>
      </c>
      <c r="N17" s="43">
        <v>1</v>
      </c>
      <c r="O17" s="48">
        <f>N17*$F$17</f>
        <v>0.05</v>
      </c>
      <c r="P17" s="48">
        <f t="shared" si="0"/>
        <v>0.05</v>
      </c>
      <c r="Q17" s="47" t="s">
        <v>410</v>
      </c>
      <c r="R17" s="43">
        <v>1</v>
      </c>
      <c r="S17" s="48">
        <f>R17*$F$17</f>
        <v>0.05</v>
      </c>
      <c r="T17" s="43">
        <v>1</v>
      </c>
      <c r="U17" s="48">
        <f>T17*$F$17</f>
        <v>0.05</v>
      </c>
      <c r="V17" s="165">
        <f>AVERAGE(S17,U17)</f>
        <v>0.05</v>
      </c>
      <c r="W17" s="231" t="s">
        <v>410</v>
      </c>
      <c r="X17" s="201">
        <v>1</v>
      </c>
      <c r="Y17" s="48">
        <f>X17*$F$17</f>
        <v>0.05</v>
      </c>
      <c r="Z17" s="43">
        <v>1</v>
      </c>
      <c r="AA17" s="48">
        <f>Z17*$F$17</f>
        <v>0.05</v>
      </c>
      <c r="AB17" s="165">
        <f>AVERAGE(Y17,AA17)</f>
        <v>0.05</v>
      </c>
      <c r="AC17" s="231" t="s">
        <v>410</v>
      </c>
      <c r="AD17" s="12" t="s">
        <v>38</v>
      </c>
    </row>
    <row r="18" spans="1:30" ht="117" customHeight="1" thickTop="1" thickBot="1" x14ac:dyDescent="0.35">
      <c r="A18" s="388"/>
      <c r="B18" s="341"/>
      <c r="C18" s="30" t="s">
        <v>60</v>
      </c>
      <c r="D18" s="20">
        <v>0.03</v>
      </c>
      <c r="E18" s="10" t="s">
        <v>61</v>
      </c>
      <c r="F18" s="20">
        <v>0.03</v>
      </c>
      <c r="G18" s="32" t="s">
        <v>62</v>
      </c>
      <c r="H18" s="19" t="s">
        <v>43</v>
      </c>
      <c r="I18" s="43">
        <v>1</v>
      </c>
      <c r="J18" s="48">
        <f>I18*$F$18</f>
        <v>0.03</v>
      </c>
      <c r="K18" s="47" t="s">
        <v>411</v>
      </c>
      <c r="L18" s="43">
        <v>1</v>
      </c>
      <c r="M18" s="48">
        <f>L18*$F$18</f>
        <v>0.03</v>
      </c>
      <c r="N18" s="43">
        <v>1</v>
      </c>
      <c r="O18" s="48">
        <f>N18*$F$18</f>
        <v>0.03</v>
      </c>
      <c r="P18" s="48">
        <f t="shared" si="0"/>
        <v>0.03</v>
      </c>
      <c r="Q18" s="197" t="s">
        <v>412</v>
      </c>
      <c r="R18" s="43">
        <v>1</v>
      </c>
      <c r="S18" s="48">
        <f>R18*$F$18</f>
        <v>0.03</v>
      </c>
      <c r="T18" s="43">
        <v>1</v>
      </c>
      <c r="U18" s="48">
        <f>T18*$F$18</f>
        <v>0.03</v>
      </c>
      <c r="V18" s="165">
        <f>AVERAGE(S18,U18)</f>
        <v>0.03</v>
      </c>
      <c r="W18" s="238" t="s">
        <v>65</v>
      </c>
      <c r="X18" s="201">
        <v>1</v>
      </c>
      <c r="Y18" s="48">
        <f>X18*$F$18</f>
        <v>0.03</v>
      </c>
      <c r="Z18" s="43">
        <v>1</v>
      </c>
      <c r="AA18" s="48">
        <f>Z18*$F$18</f>
        <v>0.03</v>
      </c>
      <c r="AB18" s="165">
        <f>AVERAGE(Y18,AA18)</f>
        <v>0.03</v>
      </c>
      <c r="AC18" s="238" t="s">
        <v>66</v>
      </c>
      <c r="AD18" s="10" t="s">
        <v>38</v>
      </c>
    </row>
    <row r="19" spans="1:30" ht="115.2" customHeight="1" thickTop="1" thickBot="1" x14ac:dyDescent="0.35">
      <c r="A19" s="389"/>
      <c r="B19" s="389"/>
      <c r="C19" s="31" t="s">
        <v>67</v>
      </c>
      <c r="D19" s="17">
        <v>0.02</v>
      </c>
      <c r="E19" s="18" t="s">
        <v>68</v>
      </c>
      <c r="F19" s="17">
        <v>0.02</v>
      </c>
      <c r="G19" s="35" t="s">
        <v>69</v>
      </c>
      <c r="H19" s="4" t="s">
        <v>43</v>
      </c>
      <c r="I19" s="43">
        <v>0.79590000000000005</v>
      </c>
      <c r="J19" s="48">
        <f>I19*$F$19</f>
        <v>1.5918000000000002E-2</v>
      </c>
      <c r="K19" s="47" t="s">
        <v>413</v>
      </c>
      <c r="L19" s="43">
        <v>0.75509999999999999</v>
      </c>
      <c r="M19" s="48">
        <f>L19*$F$19</f>
        <v>1.5102000000000001E-2</v>
      </c>
      <c r="N19" s="43">
        <v>0.75509999999999999</v>
      </c>
      <c r="O19" s="48">
        <f>N19*$F$19</f>
        <v>1.5102000000000001E-2</v>
      </c>
      <c r="P19" s="48">
        <f t="shared" si="0"/>
        <v>1.5102000000000001E-2</v>
      </c>
      <c r="Q19" s="46" t="s">
        <v>414</v>
      </c>
      <c r="R19" s="43">
        <v>0.78720000000000001</v>
      </c>
      <c r="S19" s="48">
        <f>R19*$F$19</f>
        <v>1.5744000000000001E-2</v>
      </c>
      <c r="T19" s="43">
        <v>0.78720000000000001</v>
      </c>
      <c r="U19" s="48">
        <f>T19*$F$19</f>
        <v>1.5744000000000001E-2</v>
      </c>
      <c r="V19" s="165">
        <f>AVERAGE(S19,U19)</f>
        <v>1.5744000000000001E-2</v>
      </c>
      <c r="W19" s="230" t="s">
        <v>415</v>
      </c>
      <c r="X19" s="235">
        <v>0.78720000000000001</v>
      </c>
      <c r="Y19" s="48">
        <f>F19*X19</f>
        <v>1.5744000000000001E-2</v>
      </c>
      <c r="Z19" s="43">
        <v>0.77080000000000004</v>
      </c>
      <c r="AA19" s="48">
        <f>Z19*$F$19</f>
        <v>1.5416000000000001E-2</v>
      </c>
      <c r="AB19" s="165">
        <f>AVERAGE(Y19,AA19)</f>
        <v>1.558E-2</v>
      </c>
      <c r="AC19" s="238" t="s">
        <v>416</v>
      </c>
      <c r="AD19" s="18" t="s">
        <v>38</v>
      </c>
    </row>
    <row r="20" spans="1:30" ht="156" customHeight="1" thickTop="1" thickBot="1" x14ac:dyDescent="0.35">
      <c r="A20" s="482" t="s">
        <v>74</v>
      </c>
      <c r="B20" s="414">
        <v>0.25</v>
      </c>
      <c r="C20" s="483" t="s">
        <v>75</v>
      </c>
      <c r="D20" s="416">
        <f>B20</f>
        <v>0.25</v>
      </c>
      <c r="E20" s="195" t="s">
        <v>76</v>
      </c>
      <c r="F20" s="16">
        <f>D20*0.8</f>
        <v>0.2</v>
      </c>
      <c r="G20" s="193" t="s">
        <v>77</v>
      </c>
      <c r="H20" s="13" t="s">
        <v>43</v>
      </c>
      <c r="I20" s="43">
        <v>0.95</v>
      </c>
      <c r="J20" s="48">
        <f>I20*$F$20</f>
        <v>0.19</v>
      </c>
      <c r="K20" s="62" t="s">
        <v>417</v>
      </c>
      <c r="L20" s="43">
        <v>1</v>
      </c>
      <c r="M20" s="48">
        <f>L20*$F$20</f>
        <v>0.2</v>
      </c>
      <c r="N20" s="43">
        <v>0.75</v>
      </c>
      <c r="O20" s="48">
        <f>N20*$F$20</f>
        <v>0.15000000000000002</v>
      </c>
      <c r="P20" s="48">
        <f t="shared" si="0"/>
        <v>0.17500000000000002</v>
      </c>
      <c r="Q20" s="484" t="s">
        <v>418</v>
      </c>
      <c r="R20" s="359">
        <v>0.66669999999999996</v>
      </c>
      <c r="S20" s="364"/>
      <c r="T20" s="364"/>
      <c r="U20" s="365"/>
      <c r="V20" s="165">
        <f>R20*F20</f>
        <v>0.13333999999999999</v>
      </c>
      <c r="W20" s="379" t="s">
        <v>419</v>
      </c>
      <c r="X20" s="366">
        <v>0.66669999999999996</v>
      </c>
      <c r="Y20" s="364"/>
      <c r="Z20" s="364"/>
      <c r="AA20" s="365"/>
      <c r="AB20" s="165">
        <f>X20*F20</f>
        <v>0.13333999999999999</v>
      </c>
      <c r="AC20" s="379" t="s">
        <v>420</v>
      </c>
      <c r="AD20" s="10" t="s">
        <v>82</v>
      </c>
    </row>
    <row r="21" spans="1:30" ht="150" customHeight="1" thickTop="1" thickBot="1" x14ac:dyDescent="0.35">
      <c r="A21" s="389"/>
      <c r="B21" s="389"/>
      <c r="C21" s="389"/>
      <c r="D21" s="389"/>
      <c r="E21" s="196" t="s">
        <v>83</v>
      </c>
      <c r="F21" s="15">
        <f>D20*0.2</f>
        <v>0.05</v>
      </c>
      <c r="G21" s="194" t="s">
        <v>84</v>
      </c>
      <c r="H21" s="11" t="s">
        <v>43</v>
      </c>
      <c r="I21" s="43">
        <v>0.25</v>
      </c>
      <c r="J21" s="48">
        <f>I21*$F$21</f>
        <v>1.2500000000000001E-2</v>
      </c>
      <c r="K21" s="62" t="s">
        <v>421</v>
      </c>
      <c r="L21" s="43">
        <v>0.2</v>
      </c>
      <c r="M21" s="48">
        <f>L21*$F$21</f>
        <v>1.0000000000000002E-2</v>
      </c>
      <c r="N21" s="43">
        <v>0.33329999999999999</v>
      </c>
      <c r="O21" s="48">
        <f>N21*$F$21</f>
        <v>1.6664999999999999E-2</v>
      </c>
      <c r="P21" s="48">
        <f t="shared" si="0"/>
        <v>1.3332500000000001E-2</v>
      </c>
      <c r="Q21" s="332"/>
      <c r="R21" s="359">
        <v>1</v>
      </c>
      <c r="S21" s="364"/>
      <c r="T21" s="364"/>
      <c r="U21" s="365"/>
      <c r="V21" s="165">
        <f>R21*F21</f>
        <v>0.05</v>
      </c>
      <c r="W21" s="362"/>
      <c r="X21" s="366">
        <v>1</v>
      </c>
      <c r="Y21" s="364"/>
      <c r="Z21" s="364"/>
      <c r="AA21" s="365"/>
      <c r="AB21" s="165">
        <f>X21*F21</f>
        <v>0.05</v>
      </c>
      <c r="AC21" s="362"/>
      <c r="AD21" s="12" t="s">
        <v>82</v>
      </c>
    </row>
    <row r="22" spans="1:30" ht="66" customHeight="1" thickTop="1" x14ac:dyDescent="0.3">
      <c r="A22" s="422" t="s">
        <v>86</v>
      </c>
      <c r="B22" s="414">
        <v>0.3</v>
      </c>
      <c r="C22" s="390" t="s">
        <v>87</v>
      </c>
      <c r="D22" s="416">
        <f>$B$22/2</f>
        <v>0.15</v>
      </c>
      <c r="E22" s="393" t="s">
        <v>88</v>
      </c>
      <c r="F22" s="416">
        <f>$B$22/2</f>
        <v>0.15</v>
      </c>
      <c r="G22" s="38" t="s">
        <v>89</v>
      </c>
      <c r="H22" s="13">
        <v>1</v>
      </c>
      <c r="I22" s="359">
        <v>1</v>
      </c>
      <c r="J22" s="368">
        <f>I22*$F$22</f>
        <v>0.15</v>
      </c>
      <c r="K22" s="412" t="s">
        <v>422</v>
      </c>
      <c r="L22" s="477">
        <v>1</v>
      </c>
      <c r="M22" s="346"/>
      <c r="N22" s="346"/>
      <c r="O22" s="396"/>
      <c r="P22" s="368">
        <f>L22*$F22</f>
        <v>0.15</v>
      </c>
      <c r="Q22" s="412" t="s">
        <v>91</v>
      </c>
      <c r="R22" s="420">
        <v>1</v>
      </c>
      <c r="S22" s="346"/>
      <c r="T22" s="346"/>
      <c r="U22" s="396"/>
      <c r="V22" s="386">
        <f>R22*$F22</f>
        <v>0.15</v>
      </c>
      <c r="W22" s="367" t="s">
        <v>92</v>
      </c>
      <c r="X22" s="423">
        <v>1</v>
      </c>
      <c r="Y22" s="346"/>
      <c r="Z22" s="346"/>
      <c r="AA22" s="396"/>
      <c r="AB22" s="386">
        <f>X22*$F22</f>
        <v>0.15</v>
      </c>
      <c r="AC22" s="367" t="s">
        <v>92</v>
      </c>
      <c r="AD22" s="393" t="s">
        <v>93</v>
      </c>
    </row>
    <row r="23" spans="1:30" ht="66" customHeight="1" thickBot="1" x14ac:dyDescent="0.35">
      <c r="A23" s="388"/>
      <c r="B23" s="341"/>
      <c r="C23" s="389"/>
      <c r="D23" s="389"/>
      <c r="E23" s="389"/>
      <c r="F23" s="389"/>
      <c r="G23" s="39" t="s">
        <v>94</v>
      </c>
      <c r="H23" s="11">
        <v>0</v>
      </c>
      <c r="I23" s="332"/>
      <c r="J23" s="332"/>
      <c r="K23" s="332"/>
      <c r="L23" s="334"/>
      <c r="M23" s="353"/>
      <c r="N23" s="353"/>
      <c r="O23" s="354"/>
      <c r="P23" s="332"/>
      <c r="Q23" s="332"/>
      <c r="R23" s="334"/>
      <c r="S23" s="353"/>
      <c r="T23" s="353"/>
      <c r="U23" s="354"/>
      <c r="V23" s="334"/>
      <c r="W23" s="362"/>
      <c r="X23" s="353"/>
      <c r="Y23" s="353"/>
      <c r="Z23" s="353"/>
      <c r="AA23" s="354"/>
      <c r="AB23" s="334"/>
      <c r="AC23" s="362"/>
      <c r="AD23" s="389"/>
    </row>
    <row r="24" spans="1:30" ht="82.2" customHeight="1" thickTop="1" thickBot="1" x14ac:dyDescent="0.35">
      <c r="A24" s="389"/>
      <c r="B24" s="389"/>
      <c r="C24" s="37" t="s">
        <v>95</v>
      </c>
      <c r="D24" s="8">
        <f>$B$22/2</f>
        <v>0.15</v>
      </c>
      <c r="E24" s="9" t="s">
        <v>96</v>
      </c>
      <c r="F24" s="8">
        <f>$B$22/2</f>
        <v>0.15</v>
      </c>
      <c r="G24" s="32" t="s">
        <v>97</v>
      </c>
      <c r="H24" s="8">
        <v>1</v>
      </c>
      <c r="I24" s="43">
        <v>0.255</v>
      </c>
      <c r="J24" s="48">
        <f>I24*$F$24</f>
        <v>3.8249999999999999E-2</v>
      </c>
      <c r="K24" s="47" t="s">
        <v>423</v>
      </c>
      <c r="L24" s="477">
        <v>0.59940000000000004</v>
      </c>
      <c r="M24" s="364"/>
      <c r="N24" s="364"/>
      <c r="O24" s="365"/>
      <c r="P24" s="48">
        <f>L24*$F24</f>
        <v>8.9910000000000004E-2</v>
      </c>
      <c r="Q24" s="47" t="s">
        <v>424</v>
      </c>
      <c r="R24" s="420">
        <v>0.77270000000000005</v>
      </c>
      <c r="S24" s="364"/>
      <c r="T24" s="364"/>
      <c r="U24" s="365"/>
      <c r="V24" s="165">
        <f>R24*$F24</f>
        <v>0.11590500000000001</v>
      </c>
      <c r="W24" s="237" t="s">
        <v>425</v>
      </c>
      <c r="X24" s="423">
        <v>0.93330000000000002</v>
      </c>
      <c r="Y24" s="364"/>
      <c r="Z24" s="364"/>
      <c r="AA24" s="365"/>
      <c r="AB24" s="165">
        <f>X24*$F24</f>
        <v>0.13999500000000001</v>
      </c>
      <c r="AC24" s="237" t="s">
        <v>426</v>
      </c>
      <c r="AD24" s="10" t="s">
        <v>93</v>
      </c>
    </row>
    <row r="25" spans="1:30" ht="26.7" customHeight="1" thickTop="1" x14ac:dyDescent="0.3">
      <c r="I25" s="7" t="s">
        <v>102</v>
      </c>
      <c r="J25" s="6">
        <f>SUM(J2:J24)</f>
        <v>0.80404299999999984</v>
      </c>
      <c r="O25" s="7" t="s">
        <v>102</v>
      </c>
      <c r="P25" s="6">
        <f>SUM(P2:P24)</f>
        <v>0.84793699999999994</v>
      </c>
      <c r="U25" s="7" t="s">
        <v>102</v>
      </c>
      <c r="V25" s="6">
        <f>SUM(V2:V24)</f>
        <v>0.87215566666666677</v>
      </c>
      <c r="W25" s="4"/>
      <c r="AA25" s="7" t="s">
        <v>102</v>
      </c>
      <c r="AB25" s="6">
        <f>SUM(AB2:AB24)</f>
        <v>0.77716499999999988</v>
      </c>
      <c r="AC25" s="4"/>
    </row>
    <row r="26" spans="1:30" ht="26.7" customHeight="1" x14ac:dyDescent="0.4"/>
  </sheetData>
  <mergeCells count="117">
    <mergeCell ref="B22:B24"/>
    <mergeCell ref="B2:B13"/>
    <mergeCell ref="U2:U4"/>
    <mergeCell ref="L22:O23"/>
    <mergeCell ref="C2:C5"/>
    <mergeCell ref="X22:AA23"/>
    <mergeCell ref="AA10:AA12"/>
    <mergeCell ref="O6:O8"/>
    <mergeCell ref="U6:U8"/>
    <mergeCell ref="X16:AA16"/>
    <mergeCell ref="J10:J12"/>
    <mergeCell ref="B20:B21"/>
    <mergeCell ref="L24:O24"/>
    <mergeCell ref="R24:U24"/>
    <mergeCell ref="X24:AA24"/>
    <mergeCell ref="T6:T8"/>
    <mergeCell ref="P22:P23"/>
    <mergeCell ref="Q6:Q8"/>
    <mergeCell ref="T2:T4"/>
    <mergeCell ref="Z10:Z12"/>
    <mergeCell ref="N6:N8"/>
    <mergeCell ref="A20:A21"/>
    <mergeCell ref="P6:P8"/>
    <mergeCell ref="S2:S4"/>
    <mergeCell ref="J22:J23"/>
    <mergeCell ref="V22:V23"/>
    <mergeCell ref="M6:M8"/>
    <mergeCell ref="R21:U21"/>
    <mergeCell ref="V6:V8"/>
    <mergeCell ref="Y2:Y4"/>
    <mergeCell ref="A14:A19"/>
    <mergeCell ref="X20:AA20"/>
    <mergeCell ref="Y6:Y8"/>
    <mergeCell ref="C20:C21"/>
    <mergeCell ref="W2:W4"/>
    <mergeCell ref="O2:O4"/>
    <mergeCell ref="Q20:Q21"/>
    <mergeCell ref="Q2:Q4"/>
    <mergeCell ref="A22:A24"/>
    <mergeCell ref="C22:C23"/>
    <mergeCell ref="I6:I8"/>
    <mergeCell ref="K6:K8"/>
    <mergeCell ref="Q22:Q23"/>
    <mergeCell ref="X21:AA21"/>
    <mergeCell ref="R2:R4"/>
    <mergeCell ref="I2:I4"/>
    <mergeCell ref="R22:U23"/>
    <mergeCell ref="R16:U16"/>
    <mergeCell ref="AA6:AA8"/>
    <mergeCell ref="J6:J8"/>
    <mergeCell ref="M10:M12"/>
    <mergeCell ref="AD22:AD23"/>
    <mergeCell ref="X6:X8"/>
    <mergeCell ref="E10:E12"/>
    <mergeCell ref="Y10:Y12"/>
    <mergeCell ref="Q10:Q12"/>
    <mergeCell ref="S10:S12"/>
    <mergeCell ref="I10:I12"/>
    <mergeCell ref="V2:V4"/>
    <mergeCell ref="X2:X4"/>
    <mergeCell ref="U10:U12"/>
    <mergeCell ref="W10:W12"/>
    <mergeCell ref="AB22:AB23"/>
    <mergeCell ref="AC6:AC8"/>
    <mergeCell ref="AB10:AB12"/>
    <mergeCell ref="AB6:AB8"/>
    <mergeCell ref="AC10:AC12"/>
    <mergeCell ref="AC20:AC21"/>
    <mergeCell ref="AC22:AC23"/>
    <mergeCell ref="AD10:AD12"/>
    <mergeCell ref="R6:R8"/>
    <mergeCell ref="D20:D21"/>
    <mergeCell ref="T10:T12"/>
    <mergeCell ref="V10:V12"/>
    <mergeCell ref="AD6:AD8"/>
    <mergeCell ref="F2:F4"/>
    <mergeCell ref="Z2:Z4"/>
    <mergeCell ref="R20:U20"/>
    <mergeCell ref="AB2:AB4"/>
    <mergeCell ref="E2:E4"/>
    <mergeCell ref="AA2:AA4"/>
    <mergeCell ref="Z6:Z8"/>
    <mergeCell ref="AC2:AC4"/>
    <mergeCell ref="AD2:AD4"/>
    <mergeCell ref="D10:D13"/>
    <mergeCell ref="S6:S8"/>
    <mergeCell ref="L10:L12"/>
    <mergeCell ref="N10:N12"/>
    <mergeCell ref="X10:X12"/>
    <mergeCell ref="D2:D5"/>
    <mergeCell ref="K10:K12"/>
    <mergeCell ref="J2:J4"/>
    <mergeCell ref="L2:L4"/>
    <mergeCell ref="A2:A13"/>
    <mergeCell ref="K2:K4"/>
    <mergeCell ref="D6:D9"/>
    <mergeCell ref="W20:W21"/>
    <mergeCell ref="C10:C13"/>
    <mergeCell ref="I22:I23"/>
    <mergeCell ref="K22:K23"/>
    <mergeCell ref="L6:L8"/>
    <mergeCell ref="F10:F12"/>
    <mergeCell ref="W22:W23"/>
    <mergeCell ref="O10:O12"/>
    <mergeCell ref="B14:B19"/>
    <mergeCell ref="W6:W8"/>
    <mergeCell ref="P10:P12"/>
    <mergeCell ref="M2:M4"/>
    <mergeCell ref="R10:R12"/>
    <mergeCell ref="P2:P4"/>
    <mergeCell ref="E6:E8"/>
    <mergeCell ref="E22:E23"/>
    <mergeCell ref="N2:N4"/>
    <mergeCell ref="C6:C9"/>
    <mergeCell ref="D22:D23"/>
    <mergeCell ref="F22:F23"/>
    <mergeCell ref="F6:F8"/>
  </mergeCells>
  <pageMargins left="0.25" right="0.25" top="0.75" bottom="0.75" header="0.3" footer="0.3"/>
  <pageSetup paperSize="9" scale="31" fitToHeight="0"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Hoja17">
    <tabColor theme="7" tint="0.39997558519241921"/>
  </sheetPr>
  <dimension ref="A1:AD26"/>
  <sheetViews>
    <sheetView topLeftCell="A17" zoomScale="50" zoomScaleNormal="50" zoomScaleSheetLayoutView="80" workbookViewId="0">
      <selection activeCell="G22" sqref="G22"/>
    </sheetView>
  </sheetViews>
  <sheetFormatPr baseColWidth="10" defaultColWidth="11.44140625" defaultRowHeight="21" x14ac:dyDescent="0.4"/>
  <cols>
    <col min="1" max="1" width="20.6640625" style="5" customWidth="1"/>
    <col min="2" max="2" width="9.109375" customWidth="1"/>
    <col min="3" max="3" width="19.6640625" style="4" customWidth="1"/>
    <col min="4" max="4" width="12.6640625" customWidth="1"/>
    <col min="5" max="5" width="40.6640625" style="3" customWidth="1"/>
    <col min="6" max="6" width="8" customWidth="1"/>
    <col min="7" max="7" width="51.109375" customWidth="1"/>
    <col min="8" max="8" width="10.109375" customWidth="1"/>
    <col min="9" max="9" width="25.6640625" style="2" customWidth="1"/>
    <col min="10" max="10" width="25.6640625" style="1" customWidth="1"/>
    <col min="11" max="11" width="70.6640625" customWidth="1"/>
    <col min="12" max="16" width="13" customWidth="1"/>
    <col min="17" max="17" width="110.109375" style="88" customWidth="1"/>
    <col min="18" max="22" width="15.88671875" customWidth="1"/>
    <col min="23" max="23" width="90" customWidth="1"/>
    <col min="24" max="28" width="17.109375" customWidth="1"/>
    <col min="29" max="29" width="88.6640625" customWidth="1"/>
    <col min="30" max="30" width="24.5546875" customWidth="1"/>
  </cols>
  <sheetData>
    <row r="1" spans="1:30" s="28" customFormat="1" ht="51.45" customHeight="1" thickTop="1" thickBot="1" x14ac:dyDescent="0.35">
      <c r="A1" s="153" t="s">
        <v>0</v>
      </c>
      <c r="B1" s="153" t="s">
        <v>1</v>
      </c>
      <c r="C1" s="153" t="s">
        <v>2</v>
      </c>
      <c r="D1" s="153" t="s">
        <v>3</v>
      </c>
      <c r="E1" s="153" t="s">
        <v>4</v>
      </c>
      <c r="F1" s="153" t="s">
        <v>5</v>
      </c>
      <c r="G1" s="153" t="s">
        <v>6</v>
      </c>
      <c r="H1" s="153" t="s">
        <v>7</v>
      </c>
      <c r="I1" s="153" t="s">
        <v>8</v>
      </c>
      <c r="J1" s="153" t="s">
        <v>9</v>
      </c>
      <c r="K1" s="160" t="s">
        <v>10</v>
      </c>
      <c r="L1" s="153" t="s">
        <v>11</v>
      </c>
      <c r="M1" s="153" t="s">
        <v>12</v>
      </c>
      <c r="N1" s="153" t="s">
        <v>13</v>
      </c>
      <c r="O1" s="153" t="s">
        <v>14</v>
      </c>
      <c r="P1" s="153" t="s">
        <v>15</v>
      </c>
      <c r="Q1" s="160" t="s">
        <v>16</v>
      </c>
      <c r="R1" s="153" t="s">
        <v>17</v>
      </c>
      <c r="S1" s="153" t="s">
        <v>18</v>
      </c>
      <c r="T1" s="153" t="s">
        <v>19</v>
      </c>
      <c r="U1" s="153" t="s">
        <v>20</v>
      </c>
      <c r="V1" s="153" t="s">
        <v>21</v>
      </c>
      <c r="W1" s="160" t="s">
        <v>22</v>
      </c>
      <c r="X1" s="153" t="s">
        <v>23</v>
      </c>
      <c r="Y1" s="153" t="s">
        <v>24</v>
      </c>
      <c r="Z1" s="153" t="s">
        <v>25</v>
      </c>
      <c r="AA1" s="153" t="s">
        <v>26</v>
      </c>
      <c r="AB1" s="153" t="s">
        <v>27</v>
      </c>
      <c r="AC1" s="160" t="s">
        <v>28</v>
      </c>
      <c r="AD1" s="28" t="s">
        <v>29</v>
      </c>
    </row>
    <row r="2" spans="1:30" ht="18.600000000000001" customHeight="1" thickTop="1" thickBot="1" x14ac:dyDescent="0.35">
      <c r="A2" s="408" t="s">
        <v>30</v>
      </c>
      <c r="B2" s="428">
        <v>0.2</v>
      </c>
      <c r="C2" s="429" t="s">
        <v>31</v>
      </c>
      <c r="D2" s="419">
        <f>$B$2/3</f>
        <v>6.6666666666666666E-2</v>
      </c>
      <c r="E2" s="418" t="s">
        <v>32</v>
      </c>
      <c r="F2" s="417">
        <f>$B$2/6</f>
        <v>3.3333333333333333E-2</v>
      </c>
      <c r="G2" s="56" t="s">
        <v>33</v>
      </c>
      <c r="H2" s="26">
        <v>1</v>
      </c>
      <c r="I2" s="349">
        <v>0.85</v>
      </c>
      <c r="J2" s="358">
        <f>I2*$F$2</f>
        <v>2.8333333333333332E-2</v>
      </c>
      <c r="K2" s="410" t="s">
        <v>427</v>
      </c>
      <c r="L2" s="349">
        <v>1</v>
      </c>
      <c r="M2" s="358">
        <f>L2*$F$2</f>
        <v>3.3333333333333333E-2</v>
      </c>
      <c r="N2" s="349">
        <v>0.7</v>
      </c>
      <c r="O2" s="358">
        <f>N2*$F$2</f>
        <v>2.3333333333333331E-2</v>
      </c>
      <c r="P2" s="358">
        <f>AVERAGE(M2,O2)</f>
        <v>2.8333333333333332E-2</v>
      </c>
      <c r="Q2" s="425" t="s">
        <v>428</v>
      </c>
      <c r="R2" s="349">
        <v>0.77</v>
      </c>
      <c r="S2" s="358">
        <f>R2*$F$2</f>
        <v>2.5666666666666667E-2</v>
      </c>
      <c r="T2" s="349">
        <v>0.92</v>
      </c>
      <c r="U2" s="358">
        <f>T2*$F$2</f>
        <v>3.0666666666666668E-2</v>
      </c>
      <c r="V2" s="350">
        <f>AVERAGE(S2,U2)</f>
        <v>2.8166666666666666E-2</v>
      </c>
      <c r="W2" s="407" t="s">
        <v>429</v>
      </c>
      <c r="X2" s="351">
        <v>0.73</v>
      </c>
      <c r="Y2" s="358">
        <f>X2*$F$2</f>
        <v>2.4333333333333332E-2</v>
      </c>
      <c r="Z2" s="349">
        <v>0.61</v>
      </c>
      <c r="AA2" s="358">
        <f>Z2*$F$2</f>
        <v>2.0333333333333332E-2</v>
      </c>
      <c r="AB2" s="350">
        <f>AVERAGE(Y2,AA2)</f>
        <v>2.233333333333333E-2</v>
      </c>
      <c r="AC2" s="360" t="s">
        <v>430</v>
      </c>
      <c r="AD2" s="393" t="s">
        <v>38</v>
      </c>
    </row>
    <row r="3" spans="1:30" ht="18.600000000000001" customHeight="1" thickTop="1" thickBot="1" x14ac:dyDescent="0.35">
      <c r="A3" s="388"/>
      <c r="B3" s="341"/>
      <c r="C3" s="392"/>
      <c r="D3" s="341"/>
      <c r="E3" s="397"/>
      <c r="F3" s="341"/>
      <c r="G3" s="40" t="s">
        <v>39</v>
      </c>
      <c r="H3" s="26">
        <v>0.8</v>
      </c>
      <c r="I3" s="336"/>
      <c r="J3" s="336"/>
      <c r="K3" s="336"/>
      <c r="L3" s="336"/>
      <c r="M3" s="336"/>
      <c r="N3" s="336"/>
      <c r="O3" s="336"/>
      <c r="P3" s="336"/>
      <c r="Q3" s="336"/>
      <c r="R3" s="336"/>
      <c r="S3" s="336"/>
      <c r="T3" s="336"/>
      <c r="U3" s="336"/>
      <c r="V3" s="347"/>
      <c r="W3" s="361"/>
      <c r="X3" s="352"/>
      <c r="Y3" s="336"/>
      <c r="Z3" s="336"/>
      <c r="AA3" s="336"/>
      <c r="AB3" s="347"/>
      <c r="AC3" s="361"/>
      <c r="AD3" s="341"/>
    </row>
    <row r="4" spans="1:30" ht="70.2" customHeight="1" thickTop="1" thickBot="1" x14ac:dyDescent="0.35">
      <c r="A4" s="388"/>
      <c r="B4" s="341"/>
      <c r="C4" s="392"/>
      <c r="D4" s="341"/>
      <c r="E4" s="389"/>
      <c r="F4" s="389"/>
      <c r="G4" s="40" t="s">
        <v>40</v>
      </c>
      <c r="H4" s="25">
        <v>0</v>
      </c>
      <c r="I4" s="332"/>
      <c r="J4" s="332"/>
      <c r="K4" s="332"/>
      <c r="L4" s="332"/>
      <c r="M4" s="332"/>
      <c r="N4" s="332"/>
      <c r="O4" s="332"/>
      <c r="P4" s="332"/>
      <c r="Q4" s="332"/>
      <c r="R4" s="332"/>
      <c r="S4" s="332"/>
      <c r="T4" s="332"/>
      <c r="U4" s="332"/>
      <c r="V4" s="334"/>
      <c r="W4" s="362"/>
      <c r="X4" s="354"/>
      <c r="Y4" s="332"/>
      <c r="Z4" s="332"/>
      <c r="AA4" s="332"/>
      <c r="AB4" s="334"/>
      <c r="AC4" s="362"/>
      <c r="AD4" s="389"/>
    </row>
    <row r="5" spans="1:30" ht="79.95" customHeight="1" thickTop="1" thickBot="1" x14ac:dyDescent="0.35">
      <c r="A5" s="388"/>
      <c r="B5" s="341"/>
      <c r="C5" s="389"/>
      <c r="D5" s="389"/>
      <c r="E5" s="12" t="s">
        <v>41</v>
      </c>
      <c r="F5" s="24">
        <f>$B$2/6</f>
        <v>3.3333333333333333E-2</v>
      </c>
      <c r="G5" s="40" t="s">
        <v>42</v>
      </c>
      <c r="H5" s="23" t="s">
        <v>43</v>
      </c>
      <c r="I5" s="43">
        <v>1</v>
      </c>
      <c r="J5" s="48">
        <f>I5*$F$5</f>
        <v>3.3333333333333333E-2</v>
      </c>
      <c r="K5" s="45" t="s">
        <v>124</v>
      </c>
      <c r="L5" s="43">
        <v>1</v>
      </c>
      <c r="M5" s="48">
        <f>L5*$F$5</f>
        <v>3.3333333333333333E-2</v>
      </c>
      <c r="N5" s="43">
        <v>0.7</v>
      </c>
      <c r="O5" s="48">
        <f>N5*$F$5</f>
        <v>2.3333333333333331E-2</v>
      </c>
      <c r="P5" s="48">
        <f>AVERAGE(M5,O5)</f>
        <v>2.8333333333333332E-2</v>
      </c>
      <c r="Q5" s="78" t="s">
        <v>431</v>
      </c>
      <c r="R5" s="43">
        <v>0.77</v>
      </c>
      <c r="S5" s="48">
        <f>R5*$F$5</f>
        <v>2.5666666666666667E-2</v>
      </c>
      <c r="T5" s="43">
        <v>0.92</v>
      </c>
      <c r="U5" s="48">
        <f>T5*$F$5</f>
        <v>3.0666666666666668E-2</v>
      </c>
      <c r="V5" s="165">
        <f>AVERAGE(S5,U5)</f>
        <v>2.8166666666666666E-2</v>
      </c>
      <c r="W5" s="241" t="s">
        <v>432</v>
      </c>
      <c r="X5" s="201">
        <v>0.73</v>
      </c>
      <c r="Y5" s="48">
        <f>X5*$F$5</f>
        <v>2.4333333333333332E-2</v>
      </c>
      <c r="Z5" s="43">
        <v>0.61</v>
      </c>
      <c r="AA5" s="48">
        <f>Z5*$F$5</f>
        <v>2.0333333333333332E-2</v>
      </c>
      <c r="AB5" s="165">
        <f>AVERAGE(Y5,AA5)</f>
        <v>2.233333333333333E-2</v>
      </c>
      <c r="AC5" s="231" t="s">
        <v>433</v>
      </c>
      <c r="AD5" s="12" t="s">
        <v>38</v>
      </c>
    </row>
    <row r="6" spans="1:30" ht="18.600000000000001" customHeight="1" thickTop="1" thickBot="1" x14ac:dyDescent="0.35">
      <c r="A6" s="388"/>
      <c r="B6" s="341"/>
      <c r="C6" s="391" t="s">
        <v>200</v>
      </c>
      <c r="D6" s="409">
        <f>$B$2/3</f>
        <v>6.6666666666666666E-2</v>
      </c>
      <c r="E6" s="393" t="s">
        <v>32</v>
      </c>
      <c r="F6" s="413">
        <f>$B$2/6</f>
        <v>3.3333333333333333E-2</v>
      </c>
      <c r="G6" s="40" t="s">
        <v>33</v>
      </c>
      <c r="H6" s="27">
        <v>1</v>
      </c>
      <c r="I6" s="359">
        <v>1</v>
      </c>
      <c r="J6" s="368">
        <f>I6*$F$6</f>
        <v>3.3333333333333333E-2</v>
      </c>
      <c r="K6" s="448" t="s">
        <v>305</v>
      </c>
      <c r="L6" s="359">
        <v>1</v>
      </c>
      <c r="M6" s="368">
        <f>L6*$F$6</f>
        <v>3.3333333333333333E-2</v>
      </c>
      <c r="N6" s="359">
        <v>1</v>
      </c>
      <c r="O6" s="368">
        <f>N6*$F$6</f>
        <v>3.3333333333333333E-2</v>
      </c>
      <c r="P6" s="368">
        <f>AVERAGE(M6,O6)</f>
        <v>3.3333333333333333E-2</v>
      </c>
      <c r="Q6" s="369" t="s">
        <v>305</v>
      </c>
      <c r="R6" s="359">
        <v>1</v>
      </c>
      <c r="S6" s="368">
        <f>R6*$F$6</f>
        <v>3.3333333333333333E-2</v>
      </c>
      <c r="T6" s="359">
        <v>1</v>
      </c>
      <c r="U6" s="368">
        <f>T6*$F$6</f>
        <v>3.3333333333333333E-2</v>
      </c>
      <c r="V6" s="386">
        <f>AVERAGE(S6,U6)</f>
        <v>3.3333333333333333E-2</v>
      </c>
      <c r="W6" s="441" t="s">
        <v>306</v>
      </c>
      <c r="X6" s="366">
        <v>1</v>
      </c>
      <c r="Y6" s="368">
        <f>X6*$F$6</f>
        <v>3.3333333333333333E-2</v>
      </c>
      <c r="Z6" s="359">
        <v>1</v>
      </c>
      <c r="AA6" s="368">
        <f>Z6*$F$6</f>
        <v>3.3333333333333333E-2</v>
      </c>
      <c r="AB6" s="386">
        <f>AVERAGE(Y6,AA6)</f>
        <v>3.3333333333333333E-2</v>
      </c>
      <c r="AC6" s="431" t="s">
        <v>402</v>
      </c>
      <c r="AD6" s="393" t="s">
        <v>38</v>
      </c>
    </row>
    <row r="7" spans="1:30" ht="18.600000000000001" customHeight="1" thickTop="1" thickBot="1" x14ac:dyDescent="0.35">
      <c r="A7" s="388"/>
      <c r="B7" s="341"/>
      <c r="C7" s="392"/>
      <c r="D7" s="341"/>
      <c r="E7" s="397"/>
      <c r="F7" s="341"/>
      <c r="G7" s="40" t="s">
        <v>39</v>
      </c>
      <c r="H7" s="26">
        <v>0.8</v>
      </c>
      <c r="I7" s="336"/>
      <c r="J7" s="336"/>
      <c r="K7" s="336"/>
      <c r="L7" s="336"/>
      <c r="M7" s="336"/>
      <c r="N7" s="336"/>
      <c r="O7" s="336"/>
      <c r="P7" s="336"/>
      <c r="Q7" s="336"/>
      <c r="R7" s="336"/>
      <c r="S7" s="336"/>
      <c r="T7" s="336"/>
      <c r="U7" s="336"/>
      <c r="V7" s="347"/>
      <c r="W7" s="361"/>
      <c r="X7" s="352"/>
      <c r="Y7" s="336"/>
      <c r="Z7" s="336"/>
      <c r="AA7" s="336"/>
      <c r="AB7" s="347"/>
      <c r="AC7" s="361"/>
      <c r="AD7" s="341"/>
    </row>
    <row r="8" spans="1:30" ht="105" customHeight="1" thickTop="1" thickBot="1" x14ac:dyDescent="0.35">
      <c r="A8" s="388"/>
      <c r="B8" s="341"/>
      <c r="C8" s="392"/>
      <c r="D8" s="341"/>
      <c r="E8" s="389"/>
      <c r="F8" s="389"/>
      <c r="G8" s="40" t="s">
        <v>40</v>
      </c>
      <c r="H8" s="25">
        <v>0</v>
      </c>
      <c r="I8" s="332"/>
      <c r="J8" s="332"/>
      <c r="K8" s="332"/>
      <c r="L8" s="332"/>
      <c r="M8" s="332"/>
      <c r="N8" s="332"/>
      <c r="O8" s="332"/>
      <c r="P8" s="332"/>
      <c r="Q8" s="332"/>
      <c r="R8" s="332"/>
      <c r="S8" s="332"/>
      <c r="T8" s="332"/>
      <c r="U8" s="332"/>
      <c r="V8" s="334"/>
      <c r="W8" s="362"/>
      <c r="X8" s="354"/>
      <c r="Y8" s="332"/>
      <c r="Z8" s="332"/>
      <c r="AA8" s="332"/>
      <c r="AB8" s="334"/>
      <c r="AC8" s="362"/>
      <c r="AD8" s="389"/>
    </row>
    <row r="9" spans="1:30" ht="134.25" customHeight="1" thickTop="1" thickBot="1" x14ac:dyDescent="0.35">
      <c r="A9" s="388"/>
      <c r="B9" s="341"/>
      <c r="C9" s="389"/>
      <c r="D9" s="389"/>
      <c r="E9" s="12" t="s">
        <v>41</v>
      </c>
      <c r="F9" s="24">
        <f>$B$2/6</f>
        <v>3.3333333333333333E-2</v>
      </c>
      <c r="G9" s="40" t="s">
        <v>42</v>
      </c>
      <c r="H9" s="23" t="s">
        <v>43</v>
      </c>
      <c r="I9" s="43">
        <v>1</v>
      </c>
      <c r="J9" s="48">
        <f>I9*$F$9</f>
        <v>3.3333333333333333E-2</v>
      </c>
      <c r="K9" s="45" t="s">
        <v>305</v>
      </c>
      <c r="L9" s="43">
        <v>1</v>
      </c>
      <c r="M9" s="48">
        <f>L9*$F$9</f>
        <v>3.3333333333333333E-2</v>
      </c>
      <c r="N9" s="43">
        <v>1</v>
      </c>
      <c r="O9" s="48">
        <f>N9*$F$9</f>
        <v>3.3333333333333333E-2</v>
      </c>
      <c r="P9" s="48">
        <f>AVERAGE(M9,O9)</f>
        <v>3.3333333333333333E-2</v>
      </c>
      <c r="Q9" s="78" t="s">
        <v>305</v>
      </c>
      <c r="R9" s="43">
        <v>1</v>
      </c>
      <c r="S9" s="48">
        <f>R9*$F$9</f>
        <v>3.3333333333333333E-2</v>
      </c>
      <c r="T9" s="43">
        <v>1</v>
      </c>
      <c r="U9" s="48">
        <f>T9*$F$9</f>
        <v>3.3333333333333333E-2</v>
      </c>
      <c r="V9" s="165">
        <f>AVERAGE(S9,U9)</f>
        <v>3.3333333333333333E-2</v>
      </c>
      <c r="W9" s="227" t="s">
        <v>307</v>
      </c>
      <c r="X9" s="201">
        <v>1</v>
      </c>
      <c r="Y9" s="48">
        <f>X9*$F$9</f>
        <v>3.3333333333333333E-2</v>
      </c>
      <c r="Z9" s="43">
        <v>1</v>
      </c>
      <c r="AA9" s="48">
        <f>Z9*$F$9</f>
        <v>3.3333333333333333E-2</v>
      </c>
      <c r="AB9" s="165">
        <f>AVERAGE(Y9,AA9)</f>
        <v>3.3333333333333333E-2</v>
      </c>
      <c r="AC9" s="232" t="s">
        <v>307</v>
      </c>
      <c r="AD9" s="12" t="s">
        <v>38</v>
      </c>
    </row>
    <row r="10" spans="1:30" ht="18.600000000000001" customHeight="1" thickTop="1" thickBot="1" x14ac:dyDescent="0.35">
      <c r="A10" s="388"/>
      <c r="B10" s="341"/>
      <c r="C10" s="391" t="s">
        <v>46</v>
      </c>
      <c r="D10" s="409">
        <f>$B$2/3</f>
        <v>6.6666666666666666E-2</v>
      </c>
      <c r="E10" s="393" t="s">
        <v>32</v>
      </c>
      <c r="F10" s="413">
        <f>$B$2/6</f>
        <v>3.3333333333333333E-2</v>
      </c>
      <c r="G10" s="40" t="s">
        <v>33</v>
      </c>
      <c r="H10" s="27">
        <v>1</v>
      </c>
      <c r="I10" s="359">
        <v>1</v>
      </c>
      <c r="J10" s="368">
        <f>I10*$F$10</f>
        <v>3.3333333333333333E-2</v>
      </c>
      <c r="K10" s="412" t="s">
        <v>245</v>
      </c>
      <c r="L10" s="359">
        <v>1</v>
      </c>
      <c r="M10" s="368">
        <f>L10*$F$10</f>
        <v>3.3333333333333333E-2</v>
      </c>
      <c r="N10" s="359">
        <v>1</v>
      </c>
      <c r="O10" s="368">
        <f>N10*$F$10</f>
        <v>3.3333333333333333E-2</v>
      </c>
      <c r="P10" s="368">
        <f>AVERAGE(M10,O10)</f>
        <v>3.3333333333333333E-2</v>
      </c>
      <c r="Q10" s="356" t="s">
        <v>168</v>
      </c>
      <c r="R10" s="359">
        <v>0.5</v>
      </c>
      <c r="S10" s="368">
        <f>R10*$F$10</f>
        <v>1.6666666666666666E-2</v>
      </c>
      <c r="T10" s="359">
        <v>0.5</v>
      </c>
      <c r="U10" s="368">
        <f>T10*$F$10</f>
        <v>1.6666666666666666E-2</v>
      </c>
      <c r="V10" s="386">
        <f>AVERAGE(S10,U10)</f>
        <v>1.6666666666666666E-2</v>
      </c>
      <c r="W10" s="488" t="s">
        <v>434</v>
      </c>
      <c r="X10" s="366">
        <v>0.8</v>
      </c>
      <c r="Y10" s="368">
        <f>X10*$F$10</f>
        <v>2.6666666666666668E-2</v>
      </c>
      <c r="Z10" s="359">
        <v>0.8</v>
      </c>
      <c r="AA10" s="368">
        <f>Z10*$F$10</f>
        <v>2.6666666666666668E-2</v>
      </c>
      <c r="AB10" s="386">
        <f>AVERAGE(Y10,AA10)</f>
        <v>2.6666666666666668E-2</v>
      </c>
      <c r="AC10" s="488" t="s">
        <v>403</v>
      </c>
      <c r="AD10" s="393" t="s">
        <v>38</v>
      </c>
    </row>
    <row r="11" spans="1:30" ht="18.600000000000001" customHeight="1" thickTop="1" thickBot="1" x14ac:dyDescent="0.35">
      <c r="A11" s="388"/>
      <c r="B11" s="341"/>
      <c r="C11" s="392"/>
      <c r="D11" s="341"/>
      <c r="E11" s="397"/>
      <c r="F11" s="341"/>
      <c r="G11" s="40" t="s">
        <v>39</v>
      </c>
      <c r="H11" s="26">
        <v>0.8</v>
      </c>
      <c r="I11" s="336"/>
      <c r="J11" s="336"/>
      <c r="K11" s="336"/>
      <c r="L11" s="336"/>
      <c r="M11" s="336"/>
      <c r="N11" s="336"/>
      <c r="O11" s="336"/>
      <c r="P11" s="336"/>
      <c r="Q11" s="336"/>
      <c r="R11" s="336"/>
      <c r="S11" s="336"/>
      <c r="T11" s="336"/>
      <c r="U11" s="336"/>
      <c r="V11" s="347"/>
      <c r="W11" s="361"/>
      <c r="X11" s="352"/>
      <c r="Y11" s="336"/>
      <c r="Z11" s="336"/>
      <c r="AA11" s="336"/>
      <c r="AB11" s="347"/>
      <c r="AC11" s="361"/>
      <c r="AD11" s="341"/>
    </row>
    <row r="12" spans="1:30" ht="72.599999999999994" customHeight="1" thickTop="1" thickBot="1" x14ac:dyDescent="0.35">
      <c r="A12" s="388"/>
      <c r="B12" s="341"/>
      <c r="C12" s="392"/>
      <c r="D12" s="341"/>
      <c r="E12" s="389"/>
      <c r="F12" s="389"/>
      <c r="G12" s="40" t="s">
        <v>40</v>
      </c>
      <c r="H12" s="25">
        <v>0.5</v>
      </c>
      <c r="I12" s="332"/>
      <c r="J12" s="332"/>
      <c r="K12" s="332"/>
      <c r="L12" s="332"/>
      <c r="M12" s="332"/>
      <c r="N12" s="332"/>
      <c r="O12" s="332"/>
      <c r="P12" s="332"/>
      <c r="Q12" s="332"/>
      <c r="R12" s="332"/>
      <c r="S12" s="332"/>
      <c r="T12" s="332"/>
      <c r="U12" s="332"/>
      <c r="V12" s="334"/>
      <c r="W12" s="361"/>
      <c r="X12" s="354"/>
      <c r="Y12" s="332"/>
      <c r="Z12" s="332"/>
      <c r="AA12" s="332"/>
      <c r="AB12" s="334"/>
      <c r="AC12" s="361"/>
      <c r="AD12" s="389"/>
    </row>
    <row r="13" spans="1:30" ht="105.75" customHeight="1" thickTop="1" thickBot="1" x14ac:dyDescent="0.35">
      <c r="A13" s="389"/>
      <c r="B13" s="389"/>
      <c r="C13" s="389"/>
      <c r="D13" s="389"/>
      <c r="E13" s="12" t="s">
        <v>41</v>
      </c>
      <c r="F13" s="24">
        <f>$B$2/6</f>
        <v>3.3333333333333333E-2</v>
      </c>
      <c r="G13" s="40" t="s">
        <v>42</v>
      </c>
      <c r="H13" s="23" t="s">
        <v>43</v>
      </c>
      <c r="I13" s="43">
        <v>1</v>
      </c>
      <c r="J13" s="48">
        <f>I13*$F$13</f>
        <v>3.3333333333333333E-2</v>
      </c>
      <c r="K13" s="47" t="s">
        <v>435</v>
      </c>
      <c r="L13" s="43">
        <v>1</v>
      </c>
      <c r="M13" s="48">
        <f>L13*$F$13</f>
        <v>3.3333333333333333E-2</v>
      </c>
      <c r="N13" s="43">
        <v>1</v>
      </c>
      <c r="O13" s="48">
        <f>N13*$F$13</f>
        <v>3.3333333333333333E-2</v>
      </c>
      <c r="P13" s="165">
        <f t="shared" ref="P13:P21" si="0">AVERAGE(M13,O13)</f>
        <v>3.3333333333333333E-2</v>
      </c>
      <c r="Q13" s="173" t="s">
        <v>170</v>
      </c>
      <c r="R13" s="43">
        <v>0.7</v>
      </c>
      <c r="S13" s="48">
        <f>R13*$F$13</f>
        <v>2.3333333333333331E-2</v>
      </c>
      <c r="T13" s="43">
        <v>0.7</v>
      </c>
      <c r="U13" s="48">
        <f>T13*$F$13</f>
        <v>2.3333333333333331E-2</v>
      </c>
      <c r="V13" s="165">
        <f>AVERAGE(S13,U13)</f>
        <v>2.3333333333333331E-2</v>
      </c>
      <c r="W13" s="282" t="s">
        <v>436</v>
      </c>
      <c r="X13" s="182">
        <v>0.7</v>
      </c>
      <c r="Y13" s="147">
        <f>X13*$F$13</f>
        <v>2.3333333333333331E-2</v>
      </c>
      <c r="Z13" s="151">
        <v>0.7</v>
      </c>
      <c r="AA13" s="147">
        <f>Z13*$F$13</f>
        <v>2.3333333333333331E-2</v>
      </c>
      <c r="AB13" s="161">
        <f>AVERAGE(Y13,AA13)</f>
        <v>2.3333333333333331E-2</v>
      </c>
      <c r="AC13" s="282" t="s">
        <v>437</v>
      </c>
      <c r="AD13" s="12" t="s">
        <v>38</v>
      </c>
    </row>
    <row r="14" spans="1:30" ht="83.25" customHeight="1" thickTop="1" thickBot="1" x14ac:dyDescent="0.35">
      <c r="A14" s="422" t="s">
        <v>55</v>
      </c>
      <c r="B14" s="414">
        <v>0.25</v>
      </c>
      <c r="C14" s="30" t="s">
        <v>31</v>
      </c>
      <c r="D14" s="20">
        <v>0.05</v>
      </c>
      <c r="E14" s="10" t="s">
        <v>56</v>
      </c>
      <c r="F14" s="20">
        <v>0.05</v>
      </c>
      <c r="G14" s="32" t="s">
        <v>57</v>
      </c>
      <c r="H14" s="19" t="s">
        <v>43</v>
      </c>
      <c r="I14" s="43">
        <v>0.8</v>
      </c>
      <c r="J14" s="48">
        <f>I14*$F$14</f>
        <v>4.0000000000000008E-2</v>
      </c>
      <c r="K14" s="45"/>
      <c r="L14" s="43">
        <v>1</v>
      </c>
      <c r="M14" s="48">
        <f>L14*$F$14</f>
        <v>0.05</v>
      </c>
      <c r="N14" s="43">
        <v>0.7</v>
      </c>
      <c r="O14" s="48">
        <f>N14*$F$14</f>
        <v>3.4999999999999996E-2</v>
      </c>
      <c r="P14" s="48">
        <f t="shared" si="0"/>
        <v>4.2499999999999996E-2</v>
      </c>
      <c r="Q14" s="173" t="s">
        <v>438</v>
      </c>
      <c r="R14" s="43">
        <v>0.77</v>
      </c>
      <c r="S14" s="48">
        <f>R14*$F$14</f>
        <v>3.8500000000000006E-2</v>
      </c>
      <c r="T14" s="43">
        <v>0.92</v>
      </c>
      <c r="U14" s="48">
        <f>T14*$F$14</f>
        <v>4.6000000000000006E-2</v>
      </c>
      <c r="V14" s="165">
        <f>AVERAGE(S14,U14)</f>
        <v>4.225000000000001E-2</v>
      </c>
      <c r="W14" s="246" t="s">
        <v>439</v>
      </c>
      <c r="X14" s="182">
        <v>0.73</v>
      </c>
      <c r="Y14" s="147">
        <f>X14*$F$14</f>
        <v>3.6499999999999998E-2</v>
      </c>
      <c r="Z14" s="151">
        <v>0.61</v>
      </c>
      <c r="AA14" s="147">
        <f>Z14*$F$14</f>
        <v>3.0499999999999999E-2</v>
      </c>
      <c r="AB14" s="161">
        <f>AVERAGE(Y14,AA14)</f>
        <v>3.3500000000000002E-2</v>
      </c>
      <c r="AC14" s="233" t="s">
        <v>440</v>
      </c>
      <c r="AD14" s="10" t="s">
        <v>38</v>
      </c>
    </row>
    <row r="15" spans="1:30" ht="139.5" customHeight="1" thickTop="1" thickBot="1" x14ac:dyDescent="0.35">
      <c r="A15" s="388"/>
      <c r="B15" s="341"/>
      <c r="C15" s="30" t="s">
        <v>200</v>
      </c>
      <c r="D15" s="20">
        <v>0.05</v>
      </c>
      <c r="E15" s="10" t="s">
        <v>213</v>
      </c>
      <c r="F15" s="20">
        <v>0.05</v>
      </c>
      <c r="G15" s="33" t="s">
        <v>214</v>
      </c>
      <c r="H15" s="19" t="s">
        <v>43</v>
      </c>
      <c r="I15" s="43">
        <v>0.86829999999999996</v>
      </c>
      <c r="J15" s="48">
        <f>I15*$F$15</f>
        <v>4.3415000000000002E-2</v>
      </c>
      <c r="K15" s="45" t="s">
        <v>441</v>
      </c>
      <c r="L15" s="43">
        <v>0.86</v>
      </c>
      <c r="M15" s="48">
        <f>L15*$F$15</f>
        <v>4.3000000000000003E-2</v>
      </c>
      <c r="N15" s="43">
        <v>0.88160000000000005</v>
      </c>
      <c r="O15" s="48">
        <f>N15*$F$15</f>
        <v>4.4080000000000008E-2</v>
      </c>
      <c r="P15" s="48">
        <f t="shared" si="0"/>
        <v>4.3540000000000009E-2</v>
      </c>
      <c r="Q15" s="78" t="s">
        <v>442</v>
      </c>
      <c r="R15" s="43">
        <v>0.88</v>
      </c>
      <c r="S15" s="48">
        <f>R15*$F$15</f>
        <v>4.4000000000000004E-2</v>
      </c>
      <c r="T15" s="43">
        <v>0.66700000000000004</v>
      </c>
      <c r="U15" s="48">
        <f>T15*$F$15</f>
        <v>3.3350000000000005E-2</v>
      </c>
      <c r="V15" s="165">
        <f>AVERAGE(S15,U15)</f>
        <v>3.8675000000000001E-2</v>
      </c>
      <c r="W15" s="227" t="s">
        <v>312</v>
      </c>
      <c r="X15" s="182">
        <v>0.66500000000000004</v>
      </c>
      <c r="Y15" s="147">
        <f>X15*$F$15</f>
        <v>3.3250000000000002E-2</v>
      </c>
      <c r="Z15" s="151">
        <v>0.66700000000000004</v>
      </c>
      <c r="AA15" s="147">
        <f>Z15*$F$15</f>
        <v>3.3350000000000005E-2</v>
      </c>
      <c r="AB15" s="161">
        <f>AVERAGE(Y15,AA15)</f>
        <v>3.3300000000000003E-2</v>
      </c>
      <c r="AC15" s="234" t="s">
        <v>312</v>
      </c>
      <c r="AD15" s="10" t="s">
        <v>38</v>
      </c>
    </row>
    <row r="16" spans="1:30" ht="70.2" customHeight="1" thickTop="1" thickBot="1" x14ac:dyDescent="0.35">
      <c r="A16" s="388"/>
      <c r="B16" s="341"/>
      <c r="C16" s="30" t="s">
        <v>135</v>
      </c>
      <c r="D16" s="20">
        <v>0.05</v>
      </c>
      <c r="E16" s="10" t="s">
        <v>136</v>
      </c>
      <c r="F16" s="20">
        <v>0.05</v>
      </c>
      <c r="G16" s="32" t="s">
        <v>137</v>
      </c>
      <c r="H16" s="19" t="s">
        <v>43</v>
      </c>
      <c r="I16" s="43">
        <v>1</v>
      </c>
      <c r="J16" s="48">
        <f>I16*$F$16</f>
        <v>0.05</v>
      </c>
      <c r="K16" s="47" t="s">
        <v>443</v>
      </c>
      <c r="L16" s="43">
        <v>0.9</v>
      </c>
      <c r="M16" s="48">
        <f>L16*$F$16</f>
        <v>4.5000000000000005E-2</v>
      </c>
      <c r="N16" s="43">
        <v>0.9</v>
      </c>
      <c r="O16" s="48">
        <f>N16*$F$16</f>
        <v>4.5000000000000005E-2</v>
      </c>
      <c r="P16" s="48">
        <f t="shared" si="0"/>
        <v>4.5000000000000005E-2</v>
      </c>
      <c r="Q16" s="78" t="s">
        <v>175</v>
      </c>
      <c r="R16" s="420">
        <v>0.9</v>
      </c>
      <c r="S16" s="364"/>
      <c r="T16" s="364"/>
      <c r="U16" s="365"/>
      <c r="V16" s="165">
        <f>R16*D16</f>
        <v>4.5000000000000005E-2</v>
      </c>
      <c r="W16" s="241" t="s">
        <v>219</v>
      </c>
      <c r="X16" s="430">
        <v>0.75</v>
      </c>
      <c r="Y16" s="353"/>
      <c r="Z16" s="353"/>
      <c r="AA16" s="354"/>
      <c r="AB16" s="202">
        <f>X16*D16</f>
        <v>3.7500000000000006E-2</v>
      </c>
      <c r="AC16" s="241" t="s">
        <v>353</v>
      </c>
      <c r="AD16" s="10" t="s">
        <v>82</v>
      </c>
    </row>
    <row r="17" spans="1:30" ht="62.4" customHeight="1" thickTop="1" thickBot="1" x14ac:dyDescent="0.35">
      <c r="A17" s="388"/>
      <c r="B17" s="341"/>
      <c r="C17" s="29" t="s">
        <v>142</v>
      </c>
      <c r="D17" s="22">
        <v>0.05</v>
      </c>
      <c r="E17" s="12" t="s">
        <v>143</v>
      </c>
      <c r="F17" s="22">
        <v>0.05</v>
      </c>
      <c r="G17" s="34" t="s">
        <v>144</v>
      </c>
      <c r="H17" s="21" t="s">
        <v>43</v>
      </c>
      <c r="I17" s="43">
        <v>1</v>
      </c>
      <c r="J17" s="48">
        <f>I17*$F$17</f>
        <v>0.05</v>
      </c>
      <c r="K17" s="47" t="s">
        <v>444</v>
      </c>
      <c r="L17" s="43">
        <v>1</v>
      </c>
      <c r="M17" s="48">
        <f>L17*$F$17</f>
        <v>0.05</v>
      </c>
      <c r="N17" s="43">
        <v>1</v>
      </c>
      <c r="O17" s="48">
        <f>N17*$F$17</f>
        <v>0.05</v>
      </c>
      <c r="P17" s="48">
        <f t="shared" si="0"/>
        <v>0.05</v>
      </c>
      <c r="Q17" s="78" t="s">
        <v>445</v>
      </c>
      <c r="R17" s="43">
        <v>1</v>
      </c>
      <c r="S17" s="48">
        <f>R17*$F$17</f>
        <v>0.05</v>
      </c>
      <c r="T17" s="43">
        <v>1</v>
      </c>
      <c r="U17" s="48">
        <f>T17*$F$17</f>
        <v>0.05</v>
      </c>
      <c r="V17" s="165">
        <f>AVERAGE(S17,U17)</f>
        <v>0.05</v>
      </c>
      <c r="W17" s="241" t="s">
        <v>445</v>
      </c>
      <c r="X17" s="201">
        <v>1</v>
      </c>
      <c r="Y17" s="48">
        <f>X17*$F$17</f>
        <v>0.05</v>
      </c>
      <c r="Z17" s="43">
        <v>1</v>
      </c>
      <c r="AA17" s="48">
        <f>Z17*$F$17</f>
        <v>0.05</v>
      </c>
      <c r="AB17" s="165">
        <f>AVERAGE(Y17,AA17)</f>
        <v>0.05</v>
      </c>
      <c r="AC17" s="241" t="s">
        <v>445</v>
      </c>
      <c r="AD17" s="12" t="s">
        <v>38</v>
      </c>
    </row>
    <row r="18" spans="1:30" ht="120" customHeight="1" thickTop="1" thickBot="1" x14ac:dyDescent="0.35">
      <c r="A18" s="388"/>
      <c r="B18" s="341"/>
      <c r="C18" s="30" t="s">
        <v>60</v>
      </c>
      <c r="D18" s="20">
        <v>0.03</v>
      </c>
      <c r="E18" s="10" t="s">
        <v>61</v>
      </c>
      <c r="F18" s="20">
        <v>0.03</v>
      </c>
      <c r="G18" s="32" t="s">
        <v>62</v>
      </c>
      <c r="H18" s="19" t="s">
        <v>43</v>
      </c>
      <c r="I18" s="43">
        <v>1</v>
      </c>
      <c r="J18" s="48">
        <f>I18*$F$18</f>
        <v>0.03</v>
      </c>
      <c r="K18" s="47" t="s">
        <v>446</v>
      </c>
      <c r="L18" s="43">
        <v>1</v>
      </c>
      <c r="M18" s="48">
        <f>L18*$F$18</f>
        <v>0.03</v>
      </c>
      <c r="N18" s="43">
        <v>1</v>
      </c>
      <c r="O18" s="48">
        <f>N18*$F$18</f>
        <v>0.03</v>
      </c>
      <c r="P18" s="48">
        <f t="shared" si="0"/>
        <v>0.03</v>
      </c>
      <c r="Q18" s="272" t="s">
        <v>180</v>
      </c>
      <c r="R18" s="43">
        <v>0.85719999999999996</v>
      </c>
      <c r="S18" s="48">
        <f>R18*$F$18</f>
        <v>2.5715999999999999E-2</v>
      </c>
      <c r="T18" s="43">
        <v>1</v>
      </c>
      <c r="U18" s="48">
        <f>T18*$F$18</f>
        <v>0.03</v>
      </c>
      <c r="V18" s="165">
        <f>AVERAGE(S18,U18)</f>
        <v>2.7858000000000001E-2</v>
      </c>
      <c r="W18" s="238" t="s">
        <v>447</v>
      </c>
      <c r="X18" s="201">
        <v>1</v>
      </c>
      <c r="Y18" s="48">
        <f>X18*$F$18</f>
        <v>0.03</v>
      </c>
      <c r="Z18" s="43">
        <v>1</v>
      </c>
      <c r="AA18" s="48">
        <f>Z18*$F$18</f>
        <v>0.03</v>
      </c>
      <c r="AB18" s="165">
        <f>AVERAGE(Y18,AA18)</f>
        <v>0.03</v>
      </c>
      <c r="AC18" s="238" t="s">
        <v>448</v>
      </c>
      <c r="AD18" s="10" t="s">
        <v>38</v>
      </c>
    </row>
    <row r="19" spans="1:30" ht="219" customHeight="1" thickTop="1" thickBot="1" x14ac:dyDescent="0.35">
      <c r="A19" s="389"/>
      <c r="B19" s="389"/>
      <c r="C19" s="31" t="s">
        <v>67</v>
      </c>
      <c r="D19" s="17">
        <v>0.02</v>
      </c>
      <c r="E19" s="18" t="s">
        <v>68</v>
      </c>
      <c r="F19" s="17">
        <v>0.02</v>
      </c>
      <c r="G19" s="35" t="s">
        <v>69</v>
      </c>
      <c r="H19" s="4" t="s">
        <v>43</v>
      </c>
      <c r="I19" s="43">
        <v>0.58819999999999995</v>
      </c>
      <c r="J19" s="48">
        <f>I19*$F$19</f>
        <v>1.1763999999999998E-2</v>
      </c>
      <c r="K19" s="47" t="s">
        <v>449</v>
      </c>
      <c r="L19" s="43">
        <v>0.64700000000000002</v>
      </c>
      <c r="M19" s="176">
        <f>L19*$F$19</f>
        <v>1.294E-2</v>
      </c>
      <c r="N19" s="175">
        <v>0.8125</v>
      </c>
      <c r="O19" s="174">
        <f>N19*$F$19</f>
        <v>1.6250000000000001E-2</v>
      </c>
      <c r="P19" s="48">
        <f t="shared" si="0"/>
        <v>1.4595E-2</v>
      </c>
      <c r="Q19" s="189" t="s">
        <v>450</v>
      </c>
      <c r="R19" s="43">
        <v>0.625</v>
      </c>
      <c r="S19" s="176">
        <f>R19*$F$19</f>
        <v>1.2500000000000001E-2</v>
      </c>
      <c r="T19" s="43">
        <v>0.625</v>
      </c>
      <c r="U19" s="174">
        <f>T19*$F$19</f>
        <v>1.2500000000000001E-2</v>
      </c>
      <c r="V19" s="165">
        <f>AVERAGE(S19,U19)</f>
        <v>1.2500000000000001E-2</v>
      </c>
      <c r="W19" s="281" t="s">
        <v>451</v>
      </c>
      <c r="X19" s="201">
        <v>0.625</v>
      </c>
      <c r="Y19" s="48">
        <f>F19*X19</f>
        <v>1.2500000000000001E-2</v>
      </c>
      <c r="Z19" s="43">
        <v>0.75</v>
      </c>
      <c r="AA19" s="48">
        <f>Z19*$F$19</f>
        <v>1.4999999999999999E-2</v>
      </c>
      <c r="AB19" s="165">
        <f>AVERAGE(Y19,AA19)</f>
        <v>1.375E-2</v>
      </c>
      <c r="AC19" s="281" t="s">
        <v>452</v>
      </c>
      <c r="AD19" s="18" t="s">
        <v>38</v>
      </c>
    </row>
    <row r="20" spans="1:30" ht="94.95" customHeight="1" thickTop="1" thickBot="1" x14ac:dyDescent="0.35">
      <c r="A20" s="422" t="s">
        <v>74</v>
      </c>
      <c r="B20" s="414">
        <v>0.25</v>
      </c>
      <c r="C20" s="390" t="s">
        <v>75</v>
      </c>
      <c r="D20" s="416">
        <f>B20</f>
        <v>0.25</v>
      </c>
      <c r="E20" s="14" t="s">
        <v>76</v>
      </c>
      <c r="F20" s="16">
        <f>D20*0.8</f>
        <v>0.2</v>
      </c>
      <c r="G20" s="36" t="s">
        <v>77</v>
      </c>
      <c r="H20" s="13" t="s">
        <v>43</v>
      </c>
      <c r="I20" s="43">
        <v>0.45450000000000002</v>
      </c>
      <c r="J20" s="48">
        <f>I20*$F$20</f>
        <v>9.0900000000000009E-2</v>
      </c>
      <c r="K20" s="62" t="s">
        <v>453</v>
      </c>
      <c r="L20" s="43">
        <v>0.8</v>
      </c>
      <c r="M20" s="176">
        <f>L20*$F$20</f>
        <v>0.16000000000000003</v>
      </c>
      <c r="N20" s="175">
        <v>0.75</v>
      </c>
      <c r="O20" s="174">
        <f>N20*$F$20</f>
        <v>0.15000000000000002</v>
      </c>
      <c r="P20" s="48">
        <f t="shared" si="0"/>
        <v>0.15500000000000003</v>
      </c>
      <c r="Q20" s="446" t="s">
        <v>454</v>
      </c>
      <c r="R20" s="487">
        <v>0.66669999999999996</v>
      </c>
      <c r="S20" s="364"/>
      <c r="T20" s="364"/>
      <c r="U20" s="365"/>
      <c r="V20" s="165">
        <f>R20*F20</f>
        <v>0.13333999999999999</v>
      </c>
      <c r="W20" s="466" t="s">
        <v>455</v>
      </c>
      <c r="X20" s="423">
        <v>0.75</v>
      </c>
      <c r="Y20" s="364"/>
      <c r="Z20" s="364"/>
      <c r="AA20" s="365"/>
      <c r="AB20" s="165">
        <f>X20*F20</f>
        <v>0.15000000000000002</v>
      </c>
      <c r="AC20" s="490" t="s">
        <v>456</v>
      </c>
      <c r="AD20" s="10" t="s">
        <v>82</v>
      </c>
    </row>
    <row r="21" spans="1:30" ht="94.95" customHeight="1" thickTop="1" thickBot="1" x14ac:dyDescent="0.35">
      <c r="A21" s="389"/>
      <c r="B21" s="389"/>
      <c r="C21" s="389"/>
      <c r="D21" s="389"/>
      <c r="E21" s="12" t="s">
        <v>83</v>
      </c>
      <c r="F21" s="15">
        <f>D20*0.2</f>
        <v>0.05</v>
      </c>
      <c r="G21" s="34" t="s">
        <v>84</v>
      </c>
      <c r="H21" s="11" t="s">
        <v>43</v>
      </c>
      <c r="I21" s="43">
        <v>0</v>
      </c>
      <c r="J21" s="48">
        <f>I21*$F$21</f>
        <v>0</v>
      </c>
      <c r="K21" s="62" t="s">
        <v>457</v>
      </c>
      <c r="L21" s="43">
        <v>0.8</v>
      </c>
      <c r="M21" s="176">
        <f>L21*$F$21</f>
        <v>4.0000000000000008E-2</v>
      </c>
      <c r="N21" s="175">
        <v>0.6</v>
      </c>
      <c r="O21" s="174">
        <f>N21*$F$21</f>
        <v>0.03</v>
      </c>
      <c r="P21" s="48">
        <f t="shared" si="0"/>
        <v>3.5000000000000003E-2</v>
      </c>
      <c r="Q21" s="332"/>
      <c r="R21" s="487">
        <v>1</v>
      </c>
      <c r="S21" s="364"/>
      <c r="T21" s="364"/>
      <c r="U21" s="365"/>
      <c r="V21" s="165">
        <f>R21*F21</f>
        <v>0.05</v>
      </c>
      <c r="W21" s="404"/>
      <c r="X21" s="423">
        <v>1</v>
      </c>
      <c r="Y21" s="364"/>
      <c r="Z21" s="364"/>
      <c r="AA21" s="365"/>
      <c r="AB21" s="165">
        <f>X21*F21</f>
        <v>0.05</v>
      </c>
      <c r="AC21" s="404"/>
      <c r="AD21" s="12" t="s">
        <v>82</v>
      </c>
    </row>
    <row r="22" spans="1:30" ht="66" customHeight="1" thickTop="1" x14ac:dyDescent="0.3">
      <c r="A22" s="422" t="s">
        <v>86</v>
      </c>
      <c r="B22" s="414">
        <v>0.3</v>
      </c>
      <c r="C22" s="390" t="s">
        <v>87</v>
      </c>
      <c r="D22" s="416">
        <f>$B$22/2</f>
        <v>0.15</v>
      </c>
      <c r="E22" s="393" t="s">
        <v>88</v>
      </c>
      <c r="F22" s="416">
        <f>$B$22/2</f>
        <v>0.15</v>
      </c>
      <c r="G22" s="38" t="s">
        <v>89</v>
      </c>
      <c r="H22" s="13">
        <v>1</v>
      </c>
      <c r="I22" s="359">
        <v>1</v>
      </c>
      <c r="J22" s="368">
        <f>I22*$F$22</f>
        <v>0.15</v>
      </c>
      <c r="K22" s="448" t="s">
        <v>458</v>
      </c>
      <c r="L22" s="359">
        <v>1</v>
      </c>
      <c r="M22" s="346"/>
      <c r="N22" s="346"/>
      <c r="O22" s="396"/>
      <c r="P22" s="368">
        <f>L22*$F22</f>
        <v>0.15</v>
      </c>
      <c r="Q22" s="369" t="s">
        <v>91</v>
      </c>
      <c r="R22" s="359">
        <v>1</v>
      </c>
      <c r="S22" s="346"/>
      <c r="T22" s="346"/>
      <c r="U22" s="396"/>
      <c r="V22" s="386">
        <f>R22*$F22</f>
        <v>0.15</v>
      </c>
      <c r="W22" s="399" t="s">
        <v>92</v>
      </c>
      <c r="X22" s="423">
        <v>1</v>
      </c>
      <c r="Y22" s="346"/>
      <c r="Z22" s="346"/>
      <c r="AA22" s="396"/>
      <c r="AB22" s="386">
        <f>X22*$F22</f>
        <v>0.15</v>
      </c>
      <c r="AC22" s="399" t="s">
        <v>92</v>
      </c>
      <c r="AD22" s="393" t="s">
        <v>93</v>
      </c>
    </row>
    <row r="23" spans="1:30" ht="66" customHeight="1" thickBot="1" x14ac:dyDescent="0.35">
      <c r="A23" s="388"/>
      <c r="B23" s="341"/>
      <c r="C23" s="389"/>
      <c r="D23" s="389"/>
      <c r="E23" s="389"/>
      <c r="F23" s="389"/>
      <c r="G23" s="39" t="s">
        <v>94</v>
      </c>
      <c r="H23" s="11">
        <v>0</v>
      </c>
      <c r="I23" s="332"/>
      <c r="J23" s="332"/>
      <c r="K23" s="332"/>
      <c r="L23" s="334"/>
      <c r="M23" s="353"/>
      <c r="N23" s="353"/>
      <c r="O23" s="354"/>
      <c r="P23" s="332"/>
      <c r="Q23" s="332"/>
      <c r="R23" s="334"/>
      <c r="S23" s="353"/>
      <c r="T23" s="353"/>
      <c r="U23" s="354"/>
      <c r="V23" s="334"/>
      <c r="W23" s="362"/>
      <c r="X23" s="353"/>
      <c r="Y23" s="353"/>
      <c r="Z23" s="353"/>
      <c r="AA23" s="354"/>
      <c r="AB23" s="334"/>
      <c r="AC23" s="362"/>
      <c r="AD23" s="389"/>
    </row>
    <row r="24" spans="1:30" ht="82.2" customHeight="1" thickTop="1" thickBot="1" x14ac:dyDescent="0.35">
      <c r="A24" s="389"/>
      <c r="B24" s="389"/>
      <c r="C24" s="37" t="s">
        <v>95</v>
      </c>
      <c r="D24" s="8">
        <f>$B$22/2</f>
        <v>0.15</v>
      </c>
      <c r="E24" s="9" t="s">
        <v>96</v>
      </c>
      <c r="F24" s="8">
        <f>$B$22/2</f>
        <v>0.15</v>
      </c>
      <c r="G24" s="32" t="s">
        <v>97</v>
      </c>
      <c r="H24" s="8">
        <v>1</v>
      </c>
      <c r="I24" s="43">
        <v>2.9499999999999998E-2</v>
      </c>
      <c r="J24" s="48">
        <f>I24*$F$24</f>
        <v>4.4249999999999992E-3</v>
      </c>
      <c r="K24" s="47" t="s">
        <v>459</v>
      </c>
      <c r="L24" s="489">
        <v>0.37369999999999998</v>
      </c>
      <c r="M24" s="346"/>
      <c r="N24" s="346"/>
      <c r="O24" s="396"/>
      <c r="P24" s="48">
        <f>L24*$F24</f>
        <v>5.6054999999999994E-2</v>
      </c>
      <c r="Q24" s="78" t="s">
        <v>460</v>
      </c>
      <c r="R24" s="489">
        <v>0.47070000000000001</v>
      </c>
      <c r="S24" s="346"/>
      <c r="T24" s="346"/>
      <c r="U24" s="396"/>
      <c r="V24" s="165">
        <f>R24*$F24</f>
        <v>7.0605000000000001E-2</v>
      </c>
      <c r="W24" s="242" t="s">
        <v>461</v>
      </c>
      <c r="X24" s="423">
        <v>0.64439999999999997</v>
      </c>
      <c r="Y24" s="364"/>
      <c r="Z24" s="364"/>
      <c r="AA24" s="365"/>
      <c r="AB24" s="165">
        <f>X24*$F24</f>
        <v>9.6659999999999996E-2</v>
      </c>
      <c r="AC24" s="237" t="s">
        <v>462</v>
      </c>
      <c r="AD24" s="10" t="s">
        <v>93</v>
      </c>
    </row>
    <row r="25" spans="1:30" ht="26.7" customHeight="1" thickTop="1" x14ac:dyDescent="0.3">
      <c r="I25" s="7" t="s">
        <v>102</v>
      </c>
      <c r="J25" s="6">
        <f>SUM(J2:J24)</f>
        <v>0.66550399999999998</v>
      </c>
      <c r="O25" s="7" t="s">
        <v>102</v>
      </c>
      <c r="P25" s="6">
        <f>SUM(P2:P24)</f>
        <v>0.81169000000000002</v>
      </c>
      <c r="U25" s="7" t="s">
        <v>102</v>
      </c>
      <c r="V25" s="6">
        <f>SUM(V2:V24)</f>
        <v>0.78322800000000004</v>
      </c>
      <c r="W25" s="88"/>
      <c r="AA25" s="7" t="s">
        <v>102</v>
      </c>
      <c r="AB25" s="6">
        <f>SUM(AB2:AB24)</f>
        <v>0.80604333333333333</v>
      </c>
    </row>
    <row r="26" spans="1:30" ht="26.7" customHeight="1" x14ac:dyDescent="0.4"/>
  </sheetData>
  <mergeCells count="117">
    <mergeCell ref="B22:B24"/>
    <mergeCell ref="B2:B13"/>
    <mergeCell ref="U2:U4"/>
    <mergeCell ref="L22:O23"/>
    <mergeCell ref="C2:C5"/>
    <mergeCell ref="X21:AA21"/>
    <mergeCell ref="R2:R4"/>
    <mergeCell ref="O6:O8"/>
    <mergeCell ref="U6:U8"/>
    <mergeCell ref="X16:AA16"/>
    <mergeCell ref="J10:J12"/>
    <mergeCell ref="B20:B21"/>
    <mergeCell ref="L24:O24"/>
    <mergeCell ref="R24:U24"/>
    <mergeCell ref="X24:AA24"/>
    <mergeCell ref="T6:T8"/>
    <mergeCell ref="P22:P23"/>
    <mergeCell ref="Q6:Q8"/>
    <mergeCell ref="T2:T4"/>
    <mergeCell ref="Z10:Z12"/>
    <mergeCell ref="N6:N8"/>
    <mergeCell ref="A20:A21"/>
    <mergeCell ref="J22:J23"/>
    <mergeCell ref="X22:AA23"/>
    <mergeCell ref="P6:P8"/>
    <mergeCell ref="S2:S4"/>
    <mergeCell ref="AA10:AA12"/>
    <mergeCell ref="V22:V23"/>
    <mergeCell ref="M6:M8"/>
    <mergeCell ref="R21:U21"/>
    <mergeCell ref="V6:V8"/>
    <mergeCell ref="Y2:Y4"/>
    <mergeCell ref="A14:A19"/>
    <mergeCell ref="X20:AA20"/>
    <mergeCell ref="Y6:Y8"/>
    <mergeCell ref="C20:C21"/>
    <mergeCell ref="W2:W4"/>
    <mergeCell ref="O2:O4"/>
    <mergeCell ref="Q20:Q21"/>
    <mergeCell ref="Q2:Q4"/>
    <mergeCell ref="A22:A24"/>
    <mergeCell ref="C22:C23"/>
    <mergeCell ref="I6:I8"/>
    <mergeCell ref="K6:K8"/>
    <mergeCell ref="Q22:Q23"/>
    <mergeCell ref="I2:I4"/>
    <mergeCell ref="R22:U23"/>
    <mergeCell ref="R16:U16"/>
    <mergeCell ref="AA6:AA8"/>
    <mergeCell ref="J6:J8"/>
    <mergeCell ref="M10:M12"/>
    <mergeCell ref="AD22:AD23"/>
    <mergeCell ref="X6:X8"/>
    <mergeCell ref="E10:E12"/>
    <mergeCell ref="Y10:Y12"/>
    <mergeCell ref="Q10:Q12"/>
    <mergeCell ref="S10:S12"/>
    <mergeCell ref="I10:I12"/>
    <mergeCell ref="V2:V4"/>
    <mergeCell ref="X2:X4"/>
    <mergeCell ref="U10:U12"/>
    <mergeCell ref="W10:W12"/>
    <mergeCell ref="AB22:AB23"/>
    <mergeCell ref="AC6:AC8"/>
    <mergeCell ref="AB10:AB12"/>
    <mergeCell ref="AB6:AB8"/>
    <mergeCell ref="AC10:AC12"/>
    <mergeCell ref="AC20:AC21"/>
    <mergeCell ref="AC22:AC23"/>
    <mergeCell ref="AD10:AD12"/>
    <mergeCell ref="D20:D21"/>
    <mergeCell ref="R6:R8"/>
    <mergeCell ref="T10:T12"/>
    <mergeCell ref="V10:V12"/>
    <mergeCell ref="AD6:AD8"/>
    <mergeCell ref="F2:F4"/>
    <mergeCell ref="R20:U20"/>
    <mergeCell ref="Z2:Z4"/>
    <mergeCell ref="AB2:AB4"/>
    <mergeCell ref="E2:E4"/>
    <mergeCell ref="AA2:AA4"/>
    <mergeCell ref="Z6:Z8"/>
    <mergeCell ref="AC2:AC4"/>
    <mergeCell ref="AD2:AD4"/>
    <mergeCell ref="D10:D13"/>
    <mergeCell ref="S6:S8"/>
    <mergeCell ref="L10:L12"/>
    <mergeCell ref="N10:N12"/>
    <mergeCell ref="X10:X12"/>
    <mergeCell ref="D2:D5"/>
    <mergeCell ref="K10:K12"/>
    <mergeCell ref="J2:J4"/>
    <mergeCell ref="L2:L4"/>
    <mergeCell ref="A2:A13"/>
    <mergeCell ref="K2:K4"/>
    <mergeCell ref="D6:D9"/>
    <mergeCell ref="W20:W21"/>
    <mergeCell ref="C10:C13"/>
    <mergeCell ref="I22:I23"/>
    <mergeCell ref="K22:K23"/>
    <mergeCell ref="L6:L8"/>
    <mergeCell ref="F10:F12"/>
    <mergeCell ref="W22:W23"/>
    <mergeCell ref="O10:O12"/>
    <mergeCell ref="B14:B19"/>
    <mergeCell ref="W6:W8"/>
    <mergeCell ref="P10:P12"/>
    <mergeCell ref="M2:M4"/>
    <mergeCell ref="R10:R12"/>
    <mergeCell ref="P2:P4"/>
    <mergeCell ref="E6:E8"/>
    <mergeCell ref="E22:E23"/>
    <mergeCell ref="N2:N4"/>
    <mergeCell ref="C6:C9"/>
    <mergeCell ref="D22:D23"/>
    <mergeCell ref="F22:F23"/>
    <mergeCell ref="F6:F8"/>
  </mergeCells>
  <printOptions horizontalCentered="1"/>
  <pageMargins left="0.23622047244094491" right="0.23622047244094491" top="0.74803149606299213" bottom="0.74803149606299213" header="0.31496062992125978" footer="0.31496062992125978"/>
  <pageSetup scale="45" fitToHeight="0" orientation="landscape"/>
  <rowBreaks count="1" manualBreakCount="1">
    <brk id="19" max="16383"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Hoja16">
    <tabColor theme="7" tint="0.39997558519241921"/>
  </sheetPr>
  <dimension ref="A1:AD18"/>
  <sheetViews>
    <sheetView zoomScale="50" zoomScaleNormal="50" zoomScaleSheetLayoutView="80" workbookViewId="0">
      <selection activeCell="Y9" sqref="Y9"/>
    </sheetView>
  </sheetViews>
  <sheetFormatPr baseColWidth="10" defaultColWidth="11.44140625" defaultRowHeight="21" x14ac:dyDescent="0.4"/>
  <cols>
    <col min="1" max="1" width="20.6640625" style="5" customWidth="1"/>
    <col min="2" max="2" width="9.109375" customWidth="1"/>
    <col min="3" max="3" width="19.6640625" style="4" customWidth="1"/>
    <col min="4" max="4" width="9.44140625" customWidth="1"/>
    <col min="5" max="5" width="40.6640625" style="3" customWidth="1"/>
    <col min="6" max="6" width="10.33203125" customWidth="1"/>
    <col min="7" max="7" width="56.5546875" customWidth="1"/>
    <col min="8" max="8" width="10.109375" customWidth="1"/>
    <col min="9" max="9" width="25.6640625" style="2" customWidth="1"/>
    <col min="10" max="10" width="25.6640625" style="1" customWidth="1"/>
    <col min="11" max="11" width="82.33203125" customWidth="1"/>
    <col min="12" max="16" width="15.33203125" customWidth="1"/>
    <col min="17" max="17" width="70.6640625" style="171" customWidth="1"/>
    <col min="18" max="22" width="17.33203125" customWidth="1"/>
    <col min="23" max="23" width="93.44140625" style="4" customWidth="1"/>
    <col min="24" max="28" width="16.5546875" style="140" customWidth="1"/>
    <col min="29" max="29" width="96.6640625" customWidth="1"/>
    <col min="30" max="30" width="26.109375" customWidth="1"/>
  </cols>
  <sheetData>
    <row r="1" spans="1:30" s="28" customFormat="1" ht="51.45" customHeight="1" thickTop="1" thickBot="1" x14ac:dyDescent="0.35">
      <c r="A1" s="153" t="s">
        <v>0</v>
      </c>
      <c r="B1" s="153" t="s">
        <v>1</v>
      </c>
      <c r="C1" s="153" t="s">
        <v>2</v>
      </c>
      <c r="D1" s="153" t="s">
        <v>3</v>
      </c>
      <c r="E1" s="153" t="s">
        <v>4</v>
      </c>
      <c r="F1" s="153" t="s">
        <v>5</v>
      </c>
      <c r="G1" s="153" t="s">
        <v>6</v>
      </c>
      <c r="H1" s="153" t="s">
        <v>7</v>
      </c>
      <c r="I1" s="153" t="s">
        <v>8</v>
      </c>
      <c r="J1" s="153" t="s">
        <v>9</v>
      </c>
      <c r="K1" s="160" t="s">
        <v>10</v>
      </c>
      <c r="L1" s="153" t="s">
        <v>11</v>
      </c>
      <c r="M1" s="153" t="s">
        <v>12</v>
      </c>
      <c r="N1" s="153" t="s">
        <v>13</v>
      </c>
      <c r="O1" s="153" t="s">
        <v>14</v>
      </c>
      <c r="P1" s="153" t="s">
        <v>15</v>
      </c>
      <c r="Q1" s="160" t="s">
        <v>16</v>
      </c>
      <c r="R1" s="153" t="s">
        <v>17</v>
      </c>
      <c r="S1" s="153" t="s">
        <v>18</v>
      </c>
      <c r="T1" s="153" t="s">
        <v>19</v>
      </c>
      <c r="U1" s="153" t="s">
        <v>20</v>
      </c>
      <c r="V1" s="153" t="s">
        <v>21</v>
      </c>
      <c r="W1" s="160" t="s">
        <v>22</v>
      </c>
      <c r="X1" s="153" t="s">
        <v>23</v>
      </c>
      <c r="Y1" s="153" t="s">
        <v>24</v>
      </c>
      <c r="Z1" s="153" t="s">
        <v>25</v>
      </c>
      <c r="AA1" s="153" t="s">
        <v>26</v>
      </c>
      <c r="AB1" s="153" t="s">
        <v>27</v>
      </c>
      <c r="AC1" s="160" t="s">
        <v>28</v>
      </c>
      <c r="AD1" s="28" t="s">
        <v>29</v>
      </c>
    </row>
    <row r="2" spans="1:30" ht="18.600000000000001" customHeight="1" thickTop="1" thickBot="1" x14ac:dyDescent="0.4">
      <c r="A2" s="498" t="s">
        <v>30</v>
      </c>
      <c r="B2" s="523">
        <v>0.2</v>
      </c>
      <c r="C2" s="524" t="s">
        <v>31</v>
      </c>
      <c r="D2" s="516">
        <v>0.1</v>
      </c>
      <c r="E2" s="509" t="s">
        <v>32</v>
      </c>
      <c r="F2" s="508">
        <f>$B$2/4</f>
        <v>0.05</v>
      </c>
      <c r="G2" s="104" t="s">
        <v>33</v>
      </c>
      <c r="H2" s="105">
        <v>1</v>
      </c>
      <c r="I2" s="500">
        <v>0</v>
      </c>
      <c r="J2" s="517">
        <f>I2*$F$2</f>
        <v>0</v>
      </c>
      <c r="K2" s="504" t="s">
        <v>34</v>
      </c>
      <c r="L2" s="500">
        <v>0.8</v>
      </c>
      <c r="M2" s="507">
        <f>L2*$F$2</f>
        <v>4.0000000000000008E-2</v>
      </c>
      <c r="N2" s="500">
        <v>0</v>
      </c>
      <c r="O2" s="507">
        <f>N2*$F$2</f>
        <v>0</v>
      </c>
      <c r="P2" s="507">
        <f>AVERAGE(M2,O2)</f>
        <v>2.0000000000000004E-2</v>
      </c>
      <c r="Q2" s="519" t="s">
        <v>35</v>
      </c>
      <c r="R2" s="500">
        <v>0</v>
      </c>
      <c r="S2" s="507">
        <f>R2*$F$2</f>
        <v>0</v>
      </c>
      <c r="T2" s="500">
        <v>0</v>
      </c>
      <c r="U2" s="507">
        <f>T2*$F$2</f>
        <v>0</v>
      </c>
      <c r="V2" s="522">
        <f>AVERAGE(S2,U2)</f>
        <v>0</v>
      </c>
      <c r="W2" s="382" t="s">
        <v>36</v>
      </c>
      <c r="X2" s="351">
        <v>0</v>
      </c>
      <c r="Y2" s="358">
        <f>X2*$F$2</f>
        <v>0</v>
      </c>
      <c r="Z2" s="349">
        <v>0</v>
      </c>
      <c r="AA2" s="358">
        <f>Z2*$F$2</f>
        <v>0</v>
      </c>
      <c r="AB2" s="350">
        <f>AVERAGE(Y2,AA2)</f>
        <v>0</v>
      </c>
      <c r="AC2" s="510" t="s">
        <v>37</v>
      </c>
      <c r="AD2" s="509" t="s">
        <v>38</v>
      </c>
    </row>
    <row r="3" spans="1:30" ht="18.600000000000001" customHeight="1" thickTop="1" thickBot="1" x14ac:dyDescent="0.4">
      <c r="A3" s="388"/>
      <c r="B3" s="341"/>
      <c r="C3" s="392"/>
      <c r="D3" s="341"/>
      <c r="E3" s="397"/>
      <c r="F3" s="341"/>
      <c r="G3" s="106" t="s">
        <v>39</v>
      </c>
      <c r="H3" s="105">
        <v>0.8</v>
      </c>
      <c r="I3" s="336"/>
      <c r="J3" s="336"/>
      <c r="K3" s="336"/>
      <c r="L3" s="336"/>
      <c r="M3" s="336"/>
      <c r="N3" s="336"/>
      <c r="O3" s="336"/>
      <c r="P3" s="336"/>
      <c r="Q3" s="336"/>
      <c r="R3" s="336"/>
      <c r="S3" s="336"/>
      <c r="T3" s="336"/>
      <c r="U3" s="336"/>
      <c r="V3" s="347"/>
      <c r="W3" s="361"/>
      <c r="X3" s="352"/>
      <c r="Y3" s="336"/>
      <c r="Z3" s="336"/>
      <c r="AA3" s="336"/>
      <c r="AB3" s="347"/>
      <c r="AC3" s="361"/>
      <c r="AD3" s="341"/>
    </row>
    <row r="4" spans="1:30" ht="45" customHeight="1" thickTop="1" thickBot="1" x14ac:dyDescent="0.4">
      <c r="A4" s="388"/>
      <c r="B4" s="341"/>
      <c r="C4" s="392"/>
      <c r="D4" s="341"/>
      <c r="E4" s="397"/>
      <c r="F4" s="341"/>
      <c r="G4" s="106" t="s">
        <v>40</v>
      </c>
      <c r="H4" s="112">
        <v>0</v>
      </c>
      <c r="I4" s="332"/>
      <c r="J4" s="332"/>
      <c r="K4" s="332"/>
      <c r="L4" s="332"/>
      <c r="M4" s="336"/>
      <c r="N4" s="332"/>
      <c r="O4" s="336"/>
      <c r="P4" s="336"/>
      <c r="Q4" s="332"/>
      <c r="R4" s="332"/>
      <c r="S4" s="336"/>
      <c r="T4" s="332"/>
      <c r="U4" s="336"/>
      <c r="V4" s="347"/>
      <c r="W4" s="362"/>
      <c r="X4" s="354"/>
      <c r="Y4" s="332"/>
      <c r="Z4" s="332"/>
      <c r="AA4" s="332"/>
      <c r="AB4" s="334"/>
      <c r="AC4" s="362"/>
      <c r="AD4" s="341"/>
    </row>
    <row r="5" spans="1:30" ht="64.95" customHeight="1" thickTop="1" thickBot="1" x14ac:dyDescent="0.35">
      <c r="A5" s="388"/>
      <c r="B5" s="341"/>
      <c r="C5" s="392"/>
      <c r="D5" s="341"/>
      <c r="E5" s="110" t="s">
        <v>41</v>
      </c>
      <c r="F5" s="111">
        <f>$B$2/4</f>
        <v>0.05</v>
      </c>
      <c r="G5" s="40" t="s">
        <v>42</v>
      </c>
      <c r="H5" s="113" t="s">
        <v>43</v>
      </c>
      <c r="I5" s="107">
        <v>0</v>
      </c>
      <c r="J5" s="108">
        <f>I5*$F$5</f>
        <v>0</v>
      </c>
      <c r="K5" s="114" t="s">
        <v>34</v>
      </c>
      <c r="L5" s="107">
        <v>0.5</v>
      </c>
      <c r="M5" s="108">
        <f>L5*$F$5</f>
        <v>2.5000000000000001E-2</v>
      </c>
      <c r="N5" s="107">
        <v>0</v>
      </c>
      <c r="O5" s="108">
        <f>N5*$F$5</f>
        <v>0</v>
      </c>
      <c r="P5" s="108">
        <f>AVERAGE(M5,O5)</f>
        <v>1.2500000000000001E-2</v>
      </c>
      <c r="Q5" s="78" t="s">
        <v>44</v>
      </c>
      <c r="R5" s="107">
        <v>0</v>
      </c>
      <c r="S5" s="108">
        <f>R5*$F$5</f>
        <v>0</v>
      </c>
      <c r="T5" s="107">
        <v>0</v>
      </c>
      <c r="U5" s="108">
        <f>T5*$F$5</f>
        <v>0</v>
      </c>
      <c r="V5" s="244">
        <f>AVERAGE(S5,U5)</f>
        <v>0</v>
      </c>
      <c r="W5" s="241" t="s">
        <v>45</v>
      </c>
      <c r="X5" s="201">
        <v>0</v>
      </c>
      <c r="Y5" s="48">
        <f>X5*$F$5</f>
        <v>0</v>
      </c>
      <c r="Z5" s="43">
        <v>0</v>
      </c>
      <c r="AA5" s="48">
        <f>Z5*$F$5</f>
        <v>0</v>
      </c>
      <c r="AB5" s="165">
        <f>AVERAGE(Y5,AA5)</f>
        <v>0</v>
      </c>
      <c r="AC5" s="241" t="s">
        <v>37</v>
      </c>
      <c r="AD5" s="110" t="s">
        <v>38</v>
      </c>
    </row>
    <row r="6" spans="1:30" ht="36.6" customHeight="1" thickTop="1" thickBot="1" x14ac:dyDescent="0.4">
      <c r="A6" s="388"/>
      <c r="B6" s="341"/>
      <c r="C6" s="502" t="s">
        <v>46</v>
      </c>
      <c r="D6" s="505">
        <v>0.1</v>
      </c>
      <c r="E6" s="491" t="s">
        <v>32</v>
      </c>
      <c r="F6" s="518">
        <f>$B$2/4</f>
        <v>0.05</v>
      </c>
      <c r="G6" s="106" t="s">
        <v>33</v>
      </c>
      <c r="H6" s="116">
        <v>1</v>
      </c>
      <c r="I6" s="493">
        <v>1</v>
      </c>
      <c r="J6" s="506">
        <f>I6*$F$6</f>
        <v>0.05</v>
      </c>
      <c r="K6" s="380" t="s">
        <v>47</v>
      </c>
      <c r="L6" s="493">
        <v>0.7</v>
      </c>
      <c r="M6" s="506">
        <f>L6*$F$6</f>
        <v>3.4999999999999996E-2</v>
      </c>
      <c r="N6" s="493">
        <v>0.7</v>
      </c>
      <c r="O6" s="506">
        <f>N6*$F$6</f>
        <v>3.4999999999999996E-2</v>
      </c>
      <c r="P6" s="506">
        <f>AVERAGE(M6,O6)</f>
        <v>3.4999999999999996E-2</v>
      </c>
      <c r="Q6" s="421" t="s">
        <v>48</v>
      </c>
      <c r="R6" s="493">
        <v>0.5</v>
      </c>
      <c r="S6" s="506">
        <f>R6*$F$6</f>
        <v>2.5000000000000001E-2</v>
      </c>
      <c r="T6" s="493">
        <v>0.5</v>
      </c>
      <c r="U6" s="506">
        <f>T6*$F$6</f>
        <v>2.5000000000000001E-2</v>
      </c>
      <c r="V6" s="520">
        <f>AVERAGE(S6,U6)</f>
        <v>2.5000000000000001E-2</v>
      </c>
      <c r="W6" s="427" t="s">
        <v>49</v>
      </c>
      <c r="X6" s="366">
        <v>0.5</v>
      </c>
      <c r="Y6" s="368">
        <f>X6*$F$6</f>
        <v>2.5000000000000001E-2</v>
      </c>
      <c r="Z6" s="359">
        <v>0.5</v>
      </c>
      <c r="AA6" s="368">
        <f>Z6*$F$6</f>
        <v>2.5000000000000001E-2</v>
      </c>
      <c r="AB6" s="386">
        <f>AVERAGE(Y6,AA6)</f>
        <v>2.5000000000000001E-2</v>
      </c>
      <c r="AC6" s="427" t="s">
        <v>50</v>
      </c>
      <c r="AD6" s="491" t="s">
        <v>38</v>
      </c>
    </row>
    <row r="7" spans="1:30" ht="36.6" customHeight="1" thickTop="1" thickBot="1" x14ac:dyDescent="0.4">
      <c r="A7" s="388"/>
      <c r="B7" s="341"/>
      <c r="C7" s="392"/>
      <c r="D7" s="341"/>
      <c r="E7" s="397"/>
      <c r="F7" s="341"/>
      <c r="G7" s="106" t="s">
        <v>39</v>
      </c>
      <c r="H7" s="105">
        <v>0.8</v>
      </c>
      <c r="I7" s="336"/>
      <c r="J7" s="336"/>
      <c r="K7" s="336"/>
      <c r="L7" s="336"/>
      <c r="M7" s="336"/>
      <c r="N7" s="336"/>
      <c r="O7" s="336"/>
      <c r="P7" s="336"/>
      <c r="Q7" s="336"/>
      <c r="R7" s="336"/>
      <c r="S7" s="336"/>
      <c r="T7" s="336"/>
      <c r="U7" s="336"/>
      <c r="V7" s="347"/>
      <c r="W7" s="361"/>
      <c r="X7" s="352"/>
      <c r="Y7" s="336"/>
      <c r="Z7" s="336"/>
      <c r="AA7" s="336"/>
      <c r="AB7" s="347"/>
      <c r="AC7" s="361"/>
      <c r="AD7" s="341"/>
    </row>
    <row r="8" spans="1:30" ht="51" customHeight="1" thickTop="1" thickBot="1" x14ac:dyDescent="0.4">
      <c r="A8" s="388"/>
      <c r="B8" s="341"/>
      <c r="C8" s="392"/>
      <c r="D8" s="341"/>
      <c r="E8" s="397"/>
      <c r="F8" s="341"/>
      <c r="G8" s="106" t="s">
        <v>40</v>
      </c>
      <c r="H8" s="112">
        <v>0.5</v>
      </c>
      <c r="I8" s="332"/>
      <c r="J8" s="332"/>
      <c r="K8" s="332"/>
      <c r="L8" s="332"/>
      <c r="M8" s="332"/>
      <c r="N8" s="332"/>
      <c r="O8" s="332"/>
      <c r="P8" s="332"/>
      <c r="Q8" s="332"/>
      <c r="R8" s="332"/>
      <c r="S8" s="332"/>
      <c r="T8" s="332"/>
      <c r="U8" s="332"/>
      <c r="V8" s="334"/>
      <c r="W8" s="362"/>
      <c r="X8" s="354"/>
      <c r="Y8" s="332"/>
      <c r="Z8" s="332"/>
      <c r="AA8" s="332"/>
      <c r="AB8" s="334"/>
      <c r="AC8" s="362"/>
      <c r="AD8" s="341"/>
    </row>
    <row r="9" spans="1:30" ht="191.25" customHeight="1" thickTop="1" thickBot="1" x14ac:dyDescent="0.35">
      <c r="A9" s="388"/>
      <c r="B9" s="341"/>
      <c r="C9" s="392"/>
      <c r="D9" s="341"/>
      <c r="E9" s="110" t="s">
        <v>41</v>
      </c>
      <c r="F9" s="111">
        <f>$B$2/4</f>
        <v>0.05</v>
      </c>
      <c r="G9" s="40" t="s">
        <v>42</v>
      </c>
      <c r="H9" s="113" t="s">
        <v>43</v>
      </c>
      <c r="I9" s="107">
        <v>0.8</v>
      </c>
      <c r="J9" s="108">
        <f>I9*$F$9</f>
        <v>4.0000000000000008E-2</v>
      </c>
      <c r="K9" s="114" t="s">
        <v>51</v>
      </c>
      <c r="L9" s="107">
        <v>0.8</v>
      </c>
      <c r="M9" s="108">
        <f>L9*$F$9</f>
        <v>4.0000000000000008E-2</v>
      </c>
      <c r="N9" s="107">
        <v>0</v>
      </c>
      <c r="O9" s="108">
        <f>N9*$F$9</f>
        <v>0</v>
      </c>
      <c r="P9" s="108">
        <f>AVERAGE(M9,O9)</f>
        <v>2.0000000000000004E-2</v>
      </c>
      <c r="Q9" s="78" t="s">
        <v>52</v>
      </c>
      <c r="R9" s="107">
        <v>0.5</v>
      </c>
      <c r="S9" s="108">
        <f>R9*$F$9</f>
        <v>2.5000000000000001E-2</v>
      </c>
      <c r="T9" s="107">
        <v>0.5</v>
      </c>
      <c r="U9" s="108">
        <f>T9*$F$9</f>
        <v>2.5000000000000001E-2</v>
      </c>
      <c r="V9" s="244">
        <f>AVERAGE(S9,U9)</f>
        <v>2.5000000000000001E-2</v>
      </c>
      <c r="W9" s="296" t="s">
        <v>53</v>
      </c>
      <c r="X9" s="201">
        <v>0.5</v>
      </c>
      <c r="Y9" s="48">
        <f>X9*$F$9</f>
        <v>2.5000000000000001E-2</v>
      </c>
      <c r="Z9" s="43">
        <v>0.5</v>
      </c>
      <c r="AA9" s="48">
        <f>Z9*$F$9</f>
        <v>2.5000000000000001E-2</v>
      </c>
      <c r="AB9" s="165">
        <f>AVERAGE(Y9,AA9)</f>
        <v>2.5000000000000001E-2</v>
      </c>
      <c r="AC9" s="274" t="s">
        <v>54</v>
      </c>
      <c r="AD9" s="110" t="s">
        <v>38</v>
      </c>
    </row>
    <row r="10" spans="1:30" ht="133.5" customHeight="1" thickTop="1" thickBot="1" x14ac:dyDescent="0.35">
      <c r="A10" s="495" t="s">
        <v>55</v>
      </c>
      <c r="B10" s="521">
        <v>0.25</v>
      </c>
      <c r="C10" s="117" t="s">
        <v>31</v>
      </c>
      <c r="D10" s="118">
        <v>0.2</v>
      </c>
      <c r="E10" s="119" t="s">
        <v>56</v>
      </c>
      <c r="F10" s="118">
        <v>0.2</v>
      </c>
      <c r="G10" s="120" t="s">
        <v>57</v>
      </c>
      <c r="H10" s="121" t="s">
        <v>43</v>
      </c>
      <c r="I10" s="107">
        <v>0</v>
      </c>
      <c r="J10" s="108">
        <f>I10*$F$10</f>
        <v>0</v>
      </c>
      <c r="K10" s="114" t="s">
        <v>34</v>
      </c>
      <c r="L10" s="107">
        <v>0.8</v>
      </c>
      <c r="M10" s="108">
        <f>L10*$F$10</f>
        <v>0.16000000000000003</v>
      </c>
      <c r="N10" s="107">
        <v>0</v>
      </c>
      <c r="O10" s="108">
        <f>N10*$F$10</f>
        <v>0</v>
      </c>
      <c r="P10" s="108">
        <f>AVERAGE(M10,O10)</f>
        <v>8.0000000000000016E-2</v>
      </c>
      <c r="Q10" s="78" t="s">
        <v>58</v>
      </c>
      <c r="R10" s="107">
        <v>0</v>
      </c>
      <c r="S10" s="108">
        <f>R10*$F$10</f>
        <v>0</v>
      </c>
      <c r="T10" s="107">
        <v>0</v>
      </c>
      <c r="U10" s="108">
        <f>T10*$F$10</f>
        <v>0</v>
      </c>
      <c r="V10" s="244">
        <f>AVERAGE(S10,U10)</f>
        <v>0</v>
      </c>
      <c r="W10" s="241" t="s">
        <v>59</v>
      </c>
      <c r="X10" s="201">
        <v>0</v>
      </c>
      <c r="Y10" s="48">
        <f>X10*$F$10</f>
        <v>0</v>
      </c>
      <c r="Z10" s="43">
        <v>0</v>
      </c>
      <c r="AA10" s="48">
        <f>Z10*$F$10</f>
        <v>0</v>
      </c>
      <c r="AB10" s="165">
        <f>AVERAGE(Y10,AA10)</f>
        <v>0</v>
      </c>
      <c r="AC10" s="297" t="s">
        <v>59</v>
      </c>
      <c r="AD10" s="119" t="s">
        <v>38</v>
      </c>
    </row>
    <row r="11" spans="1:30" ht="121.5" customHeight="1" thickTop="1" thickBot="1" x14ac:dyDescent="0.35">
      <c r="A11" s="388"/>
      <c r="B11" s="341"/>
      <c r="C11" s="117" t="s">
        <v>60</v>
      </c>
      <c r="D11" s="118">
        <v>0.03</v>
      </c>
      <c r="E11" s="119" t="s">
        <v>61</v>
      </c>
      <c r="F11" s="118">
        <v>0.03</v>
      </c>
      <c r="G11" s="120" t="s">
        <v>62</v>
      </c>
      <c r="H11" s="121" t="s">
        <v>43</v>
      </c>
      <c r="I11" s="107">
        <v>1</v>
      </c>
      <c r="J11" s="108">
        <f>I11*$F$11</f>
        <v>0.03</v>
      </c>
      <c r="K11" s="114" t="s">
        <v>63</v>
      </c>
      <c r="L11" s="107">
        <v>1</v>
      </c>
      <c r="M11" s="108">
        <f>L11*$F$11</f>
        <v>0.03</v>
      </c>
      <c r="N11" s="107">
        <v>1</v>
      </c>
      <c r="O11" s="204">
        <f>N11*$F$11</f>
        <v>0.03</v>
      </c>
      <c r="P11" s="203">
        <f>AVERAGE(M11,O11)</f>
        <v>0.03</v>
      </c>
      <c r="Q11" s="190" t="s">
        <v>64</v>
      </c>
      <c r="R11" s="107">
        <v>1</v>
      </c>
      <c r="S11" s="108">
        <f>R11*$F$11</f>
        <v>0.03</v>
      </c>
      <c r="T11" s="107">
        <v>1</v>
      </c>
      <c r="U11" s="108">
        <f>T11*$F$11</f>
        <v>0.03</v>
      </c>
      <c r="V11" s="245">
        <f>AVERAGE(S11,U11)</f>
        <v>0.03</v>
      </c>
      <c r="W11" s="230" t="s">
        <v>65</v>
      </c>
      <c r="X11" s="201">
        <v>1</v>
      </c>
      <c r="Y11" s="48">
        <f>X11*$F$11</f>
        <v>0.03</v>
      </c>
      <c r="Z11" s="43">
        <v>1</v>
      </c>
      <c r="AA11" s="48">
        <f>Z11*$F$11</f>
        <v>0.03</v>
      </c>
      <c r="AB11" s="165">
        <f>AVERAGE(Y11,AA11)</f>
        <v>0.03</v>
      </c>
      <c r="AC11" s="271" t="s">
        <v>66</v>
      </c>
      <c r="AD11" s="119" t="s">
        <v>38</v>
      </c>
    </row>
    <row r="12" spans="1:30" ht="148.19999999999999" customHeight="1" thickTop="1" thickBot="1" x14ac:dyDescent="0.35">
      <c r="A12" s="388"/>
      <c r="B12" s="341"/>
      <c r="C12" s="122" t="s">
        <v>67</v>
      </c>
      <c r="D12" s="102">
        <v>0.02</v>
      </c>
      <c r="E12" s="103" t="s">
        <v>68</v>
      </c>
      <c r="F12" s="102">
        <v>0.02</v>
      </c>
      <c r="G12" s="123" t="s">
        <v>69</v>
      </c>
      <c r="H12" s="124" t="s">
        <v>43</v>
      </c>
      <c r="I12" s="107">
        <v>0.1666</v>
      </c>
      <c r="J12" s="108">
        <f>I12*$F$12</f>
        <v>3.3319999999999999E-3</v>
      </c>
      <c r="K12" s="114" t="s">
        <v>70</v>
      </c>
      <c r="L12" s="107">
        <v>0.16669999999999999</v>
      </c>
      <c r="M12" s="108">
        <f>L12*$F$12</f>
        <v>3.3339999999999997E-3</v>
      </c>
      <c r="N12" s="107">
        <v>0.16669999999999999</v>
      </c>
      <c r="O12" s="108">
        <f>N12*$F$12</f>
        <v>3.3339999999999997E-3</v>
      </c>
      <c r="P12" s="108">
        <f>AVERAGE(M12,O12)</f>
        <v>3.3339999999999997E-3</v>
      </c>
      <c r="Q12" s="190" t="s">
        <v>71</v>
      </c>
      <c r="R12" s="291">
        <v>0</v>
      </c>
      <c r="S12" s="269">
        <f>R12*$F$12</f>
        <v>0</v>
      </c>
      <c r="T12" s="291">
        <v>0</v>
      </c>
      <c r="U12" s="269">
        <f>T12*$F$12</f>
        <v>0</v>
      </c>
      <c r="V12" s="244">
        <f>AVERAGE(S12,U12)</f>
        <v>0</v>
      </c>
      <c r="W12" s="239" t="s">
        <v>72</v>
      </c>
      <c r="X12" s="221">
        <v>0</v>
      </c>
      <c r="Y12" s="200">
        <f>X12*$F$10</f>
        <v>0</v>
      </c>
      <c r="Z12" s="211">
        <v>0</v>
      </c>
      <c r="AA12" s="200">
        <f>Z12*$F$10</f>
        <v>0</v>
      </c>
      <c r="AB12" s="165">
        <f>AVERAGE(Y12,AA12)</f>
        <v>0</v>
      </c>
      <c r="AC12" s="275" t="s">
        <v>73</v>
      </c>
      <c r="AD12" s="103" t="s">
        <v>38</v>
      </c>
    </row>
    <row r="13" spans="1:30" ht="127.95" customHeight="1" thickTop="1" thickBot="1" x14ac:dyDescent="0.35">
      <c r="A13" s="495" t="s">
        <v>74</v>
      </c>
      <c r="B13" s="521">
        <v>0.25</v>
      </c>
      <c r="C13" s="497" t="s">
        <v>75</v>
      </c>
      <c r="D13" s="503">
        <f>B13</f>
        <v>0.25</v>
      </c>
      <c r="E13" s="115" t="s">
        <v>76</v>
      </c>
      <c r="F13" s="126">
        <f>D13*0.8</f>
        <v>0.2</v>
      </c>
      <c r="G13" s="127" t="s">
        <v>77</v>
      </c>
      <c r="H13" s="125" t="s">
        <v>43</v>
      </c>
      <c r="I13" s="107">
        <v>0.85</v>
      </c>
      <c r="J13" s="108">
        <f>I13*$F$13</f>
        <v>0.17</v>
      </c>
      <c r="K13" s="109" t="s">
        <v>78</v>
      </c>
      <c r="L13" s="496">
        <f>0/1</f>
        <v>0</v>
      </c>
      <c r="M13" s="364"/>
      <c r="N13" s="364"/>
      <c r="O13" s="364"/>
      <c r="P13" s="108">
        <f>L13*F13</f>
        <v>0</v>
      </c>
      <c r="Q13" s="499" t="s">
        <v>79</v>
      </c>
      <c r="R13" s="494">
        <v>0.66669999999999996</v>
      </c>
      <c r="S13" s="374"/>
      <c r="T13" s="374"/>
      <c r="U13" s="375"/>
      <c r="V13" s="290">
        <f>R13*F13</f>
        <v>0.13333999999999999</v>
      </c>
      <c r="W13" s="378" t="s">
        <v>80</v>
      </c>
      <c r="X13" s="373">
        <v>0</v>
      </c>
      <c r="Y13" s="374"/>
      <c r="Z13" s="374"/>
      <c r="AA13" s="375"/>
      <c r="AB13" s="292">
        <f>X13*F13</f>
        <v>0</v>
      </c>
      <c r="AC13" s="501" t="s">
        <v>81</v>
      </c>
      <c r="AD13" s="115" t="s">
        <v>82</v>
      </c>
    </row>
    <row r="14" spans="1:30" ht="127.95" customHeight="1" thickTop="1" thickBot="1" x14ac:dyDescent="0.35">
      <c r="A14" s="388"/>
      <c r="B14" s="341"/>
      <c r="C14" s="392"/>
      <c r="D14" s="341"/>
      <c r="E14" s="110" t="s">
        <v>83</v>
      </c>
      <c r="F14" s="130">
        <f>D13*0.2</f>
        <v>0.05</v>
      </c>
      <c r="G14" s="131" t="s">
        <v>84</v>
      </c>
      <c r="H14" s="129" t="s">
        <v>43</v>
      </c>
      <c r="I14" s="107">
        <v>0</v>
      </c>
      <c r="J14" s="108">
        <f>I14*$F$14</f>
        <v>0</v>
      </c>
      <c r="K14" s="128" t="s">
        <v>85</v>
      </c>
      <c r="L14" s="496">
        <f>0/1</f>
        <v>0</v>
      </c>
      <c r="M14" s="364"/>
      <c r="N14" s="364"/>
      <c r="O14" s="364"/>
      <c r="P14" s="108">
        <f>L14*F14</f>
        <v>0</v>
      </c>
      <c r="Q14" s="347"/>
      <c r="R14" s="494">
        <v>1</v>
      </c>
      <c r="S14" s="374"/>
      <c r="T14" s="374"/>
      <c r="U14" s="375"/>
      <c r="V14" s="290">
        <f>R14*F14</f>
        <v>0.05</v>
      </c>
      <c r="W14" s="361"/>
      <c r="X14" s="512">
        <v>0</v>
      </c>
      <c r="Y14" s="513"/>
      <c r="Z14" s="513"/>
      <c r="AA14" s="514"/>
      <c r="AB14" s="292">
        <f>X14*F14</f>
        <v>0</v>
      </c>
      <c r="AC14" s="362"/>
      <c r="AD14" s="110" t="s">
        <v>82</v>
      </c>
    </row>
    <row r="15" spans="1:30" ht="66" customHeight="1" thickTop="1" thickBot="1" x14ac:dyDescent="0.35">
      <c r="A15" s="495" t="s">
        <v>86</v>
      </c>
      <c r="B15" s="521">
        <v>0.3</v>
      </c>
      <c r="C15" s="497" t="s">
        <v>87</v>
      </c>
      <c r="D15" s="503">
        <f>$B$15/2</f>
        <v>0.15</v>
      </c>
      <c r="E15" s="491" t="s">
        <v>88</v>
      </c>
      <c r="F15" s="503">
        <f>$B$15/2</f>
        <v>0.15</v>
      </c>
      <c r="G15" s="132" t="s">
        <v>89</v>
      </c>
      <c r="H15" s="125">
        <v>1</v>
      </c>
      <c r="I15" s="493">
        <v>1</v>
      </c>
      <c r="J15" s="506">
        <f>I15*$F$15</f>
        <v>0.15</v>
      </c>
      <c r="K15" s="380" t="s">
        <v>90</v>
      </c>
      <c r="L15" s="515">
        <v>1</v>
      </c>
      <c r="M15" s="346"/>
      <c r="N15" s="346"/>
      <c r="O15" s="346"/>
      <c r="P15" s="511">
        <f>L15*F15</f>
        <v>0.15</v>
      </c>
      <c r="Q15" s="369" t="s">
        <v>91</v>
      </c>
      <c r="R15" s="349">
        <v>1</v>
      </c>
      <c r="S15" s="341"/>
      <c r="T15" s="341"/>
      <c r="U15" s="352"/>
      <c r="V15" s="492">
        <f>R15*F15</f>
        <v>0.15</v>
      </c>
      <c r="W15" s="367" t="s">
        <v>92</v>
      </c>
      <c r="X15" s="351">
        <v>1</v>
      </c>
      <c r="Y15" s="348"/>
      <c r="Z15" s="348"/>
      <c r="AA15" s="352"/>
      <c r="AB15" s="386">
        <f>X15*D15</f>
        <v>0.15</v>
      </c>
      <c r="AC15" s="367" t="s">
        <v>92</v>
      </c>
      <c r="AD15" s="491" t="s">
        <v>93</v>
      </c>
    </row>
    <row r="16" spans="1:30" ht="73.2" customHeight="1" thickTop="1" thickBot="1" x14ac:dyDescent="0.35">
      <c r="A16" s="388"/>
      <c r="B16" s="341"/>
      <c r="C16" s="392"/>
      <c r="D16" s="341"/>
      <c r="E16" s="397"/>
      <c r="F16" s="341"/>
      <c r="G16" s="133" t="s">
        <v>94</v>
      </c>
      <c r="H16" s="129">
        <v>0</v>
      </c>
      <c r="I16" s="332"/>
      <c r="J16" s="332"/>
      <c r="K16" s="332"/>
      <c r="L16" s="347"/>
      <c r="M16" s="341"/>
      <c r="N16" s="341"/>
      <c r="O16" s="341"/>
      <c r="P16" s="336"/>
      <c r="Q16" s="332"/>
      <c r="R16" s="334"/>
      <c r="S16" s="353"/>
      <c r="T16" s="353"/>
      <c r="U16" s="354"/>
      <c r="V16" s="347"/>
      <c r="W16" s="362"/>
      <c r="X16" s="353"/>
      <c r="Y16" s="353"/>
      <c r="Z16" s="353"/>
      <c r="AA16" s="354"/>
      <c r="AB16" s="334"/>
      <c r="AC16" s="362"/>
      <c r="AD16" s="341"/>
    </row>
    <row r="17" spans="1:30" ht="121.2" customHeight="1" thickTop="1" thickBot="1" x14ac:dyDescent="0.35">
      <c r="A17" s="388"/>
      <c r="B17" s="341"/>
      <c r="C17" s="134" t="s">
        <v>95</v>
      </c>
      <c r="D17" s="135">
        <v>0.15</v>
      </c>
      <c r="E17" s="136" t="s">
        <v>96</v>
      </c>
      <c r="F17" s="135">
        <v>0.15</v>
      </c>
      <c r="G17" s="120" t="s">
        <v>97</v>
      </c>
      <c r="H17" s="135">
        <v>1</v>
      </c>
      <c r="I17" s="107">
        <v>0.2913</v>
      </c>
      <c r="J17" s="108">
        <f>I17*$F$17</f>
        <v>4.3694999999999998E-2</v>
      </c>
      <c r="K17" s="109" t="s">
        <v>98</v>
      </c>
      <c r="L17" s="496">
        <v>0.49959999999999999</v>
      </c>
      <c r="M17" s="364"/>
      <c r="N17" s="364"/>
      <c r="O17" s="364"/>
      <c r="P17" s="108">
        <f>L17*F17</f>
        <v>7.4939999999999993E-2</v>
      </c>
      <c r="Q17" s="71" t="s">
        <v>99</v>
      </c>
      <c r="R17" s="359">
        <v>1</v>
      </c>
      <c r="S17" s="364"/>
      <c r="T17" s="364"/>
      <c r="U17" s="365"/>
      <c r="V17" s="244">
        <f>R17*F17</f>
        <v>0.15</v>
      </c>
      <c r="W17" s="242" t="s">
        <v>100</v>
      </c>
      <c r="X17" s="366">
        <v>1</v>
      </c>
      <c r="Y17" s="364"/>
      <c r="Z17" s="364"/>
      <c r="AA17" s="365"/>
      <c r="AB17" s="165">
        <f>X17*D17</f>
        <v>0.15</v>
      </c>
      <c r="AC17" s="237" t="s">
        <v>101</v>
      </c>
      <c r="AD17" s="119" t="s">
        <v>93</v>
      </c>
    </row>
    <row r="18" spans="1:30" ht="26.7" customHeight="1" thickTop="1" x14ac:dyDescent="0.3">
      <c r="I18" s="7" t="s">
        <v>102</v>
      </c>
      <c r="J18" s="6">
        <f>SUM(J2:J17)</f>
        <v>0.48702700000000004</v>
      </c>
      <c r="O18" s="7" t="s">
        <v>102</v>
      </c>
      <c r="P18" s="6">
        <f>SUM(P2:P17)</f>
        <v>0.42577400000000004</v>
      </c>
      <c r="Q18" s="166"/>
      <c r="U18" s="7" t="s">
        <v>102</v>
      </c>
      <c r="V18" s="65">
        <f>SUM(V2:V17)</f>
        <v>0.56333999999999995</v>
      </c>
      <c r="W18" s="88"/>
      <c r="X18" s="224"/>
      <c r="Y18" s="225"/>
      <c r="Z18" s="224"/>
      <c r="AA18" s="7" t="s">
        <v>102</v>
      </c>
      <c r="AB18" s="65">
        <f>SUM(AB2:AB17)</f>
        <v>0.38</v>
      </c>
      <c r="AC18" s="276"/>
    </row>
  </sheetData>
  <mergeCells count="91">
    <mergeCell ref="AB6:AB8"/>
    <mergeCell ref="X2:X4"/>
    <mergeCell ref="A15:A17"/>
    <mergeCell ref="V2:V4"/>
    <mergeCell ref="B2:B9"/>
    <mergeCell ref="D15:D16"/>
    <mergeCell ref="U2:U4"/>
    <mergeCell ref="R13:U13"/>
    <mergeCell ref="C2:C5"/>
    <mergeCell ref="P6:P8"/>
    <mergeCell ref="S2:S4"/>
    <mergeCell ref="M6:M8"/>
    <mergeCell ref="L14:O14"/>
    <mergeCell ref="B10:B12"/>
    <mergeCell ref="B15:B17"/>
    <mergeCell ref="T6:T8"/>
    <mergeCell ref="Q6:Q8"/>
    <mergeCell ref="T2:T4"/>
    <mergeCell ref="AC15:AC16"/>
    <mergeCell ref="D2:D5"/>
    <mergeCell ref="X15:AA16"/>
    <mergeCell ref="J2:J4"/>
    <mergeCell ref="L2:L4"/>
    <mergeCell ref="F6:F8"/>
    <mergeCell ref="I2:I4"/>
    <mergeCell ref="AB15:AB16"/>
    <mergeCell ref="W2:W4"/>
    <mergeCell ref="O2:O4"/>
    <mergeCell ref="Q2:Q4"/>
    <mergeCell ref="I6:I8"/>
    <mergeCell ref="E15:E16"/>
    <mergeCell ref="W13:W14"/>
    <mergeCell ref="V6:V8"/>
    <mergeCell ref="Y2:Y4"/>
    <mergeCell ref="X17:AA17"/>
    <mergeCell ref="AA6:AA8"/>
    <mergeCell ref="J6:J8"/>
    <mergeCell ref="P15:P16"/>
    <mergeCell ref="X6:X8"/>
    <mergeCell ref="Y6:Y8"/>
    <mergeCell ref="X14:AA14"/>
    <mergeCell ref="R15:U16"/>
    <mergeCell ref="L15:O16"/>
    <mergeCell ref="K6:K8"/>
    <mergeCell ref="Q15:Q16"/>
    <mergeCell ref="O6:O8"/>
    <mergeCell ref="X13:AA13"/>
    <mergeCell ref="S6:S8"/>
    <mergeCell ref="W15:W16"/>
    <mergeCell ref="K15:K16"/>
    <mergeCell ref="A13:A14"/>
    <mergeCell ref="U6:U8"/>
    <mergeCell ref="R6:R8"/>
    <mergeCell ref="AD6:AD8"/>
    <mergeCell ref="F2:F4"/>
    <mergeCell ref="Z2:Z4"/>
    <mergeCell ref="AB2:AB4"/>
    <mergeCell ref="E2:E4"/>
    <mergeCell ref="AA2:AA4"/>
    <mergeCell ref="AC2:AC4"/>
    <mergeCell ref="AD2:AD4"/>
    <mergeCell ref="R2:R4"/>
    <mergeCell ref="B13:B14"/>
    <mergeCell ref="D13:D14"/>
    <mergeCell ref="AC6:AC8"/>
    <mergeCell ref="N6:N8"/>
    <mergeCell ref="F15:F16"/>
    <mergeCell ref="R17:U17"/>
    <mergeCell ref="K2:K4"/>
    <mergeCell ref="D6:D9"/>
    <mergeCell ref="J15:J16"/>
    <mergeCell ref="M2:M4"/>
    <mergeCell ref="P2:P4"/>
    <mergeCell ref="I15:I16"/>
    <mergeCell ref="L17:O17"/>
    <mergeCell ref="AD15:AD16"/>
    <mergeCell ref="V15:V16"/>
    <mergeCell ref="L6:L8"/>
    <mergeCell ref="R14:U14"/>
    <mergeCell ref="A10:A12"/>
    <mergeCell ref="Z6:Z8"/>
    <mergeCell ref="W6:W8"/>
    <mergeCell ref="L13:O13"/>
    <mergeCell ref="E6:E8"/>
    <mergeCell ref="C13:C14"/>
    <mergeCell ref="A2:A9"/>
    <mergeCell ref="Q13:Q14"/>
    <mergeCell ref="N2:N4"/>
    <mergeCell ref="C15:C16"/>
    <mergeCell ref="AC13:AC14"/>
    <mergeCell ref="C6:C9"/>
  </mergeCells>
  <printOptions horizontalCentered="1"/>
  <pageMargins left="0.23622047244094491" right="0.23622047244094491" top="0.74803149606299213" bottom="0.74803149606299213" header="0.31496062992125978" footer="0.31496062992125978"/>
  <pageSetup scale="43"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Hoja8">
    <tabColor theme="7" tint="0.39997558519241921"/>
  </sheetPr>
  <dimension ref="A1:AD18"/>
  <sheetViews>
    <sheetView topLeftCell="A11" zoomScale="50" zoomScaleNormal="50" zoomScaleSheetLayoutView="70" workbookViewId="0">
      <selection activeCell="C15" sqref="C15:C16"/>
    </sheetView>
  </sheetViews>
  <sheetFormatPr baseColWidth="10" defaultColWidth="11.44140625" defaultRowHeight="21" x14ac:dyDescent="0.4"/>
  <cols>
    <col min="1" max="1" width="20.6640625" style="5" customWidth="1"/>
    <col min="2" max="2" width="9.109375" customWidth="1"/>
    <col min="3" max="3" width="19.6640625" style="4" customWidth="1"/>
    <col min="4" max="4" width="12.109375" customWidth="1"/>
    <col min="5" max="5" width="40.6640625" style="3" customWidth="1"/>
    <col min="6" max="6" width="19.5546875" customWidth="1"/>
    <col min="7" max="7" width="62.5546875" style="267" customWidth="1"/>
    <col min="8" max="8" width="10.109375" style="267" customWidth="1"/>
    <col min="9" max="9" width="25.6640625" style="2" customWidth="1"/>
    <col min="10" max="10" width="25.6640625" style="1" customWidth="1"/>
    <col min="11" max="11" width="70.6640625" customWidth="1"/>
    <col min="12" max="16" width="17.109375" customWidth="1"/>
    <col min="17" max="17" width="93.88671875" style="171" customWidth="1"/>
    <col min="18" max="22" width="16.44140625" customWidth="1"/>
    <col min="23" max="23" width="90.6640625" customWidth="1"/>
    <col min="24" max="24" width="18.5546875" style="140" customWidth="1"/>
    <col min="25" max="25" width="20" style="140" customWidth="1"/>
    <col min="26" max="26" width="20.44140625" style="140" customWidth="1"/>
    <col min="27" max="27" width="21.33203125" style="140" customWidth="1"/>
    <col min="28" max="28" width="19.109375" style="140" customWidth="1"/>
    <col min="29" max="29" width="97.33203125" customWidth="1"/>
    <col min="30" max="30" width="30.77734375" customWidth="1"/>
  </cols>
  <sheetData>
    <row r="1" spans="1:30" s="28" customFormat="1" ht="51.45" customHeight="1" thickTop="1" thickBot="1" x14ac:dyDescent="0.35">
      <c r="A1" s="153" t="s">
        <v>0</v>
      </c>
      <c r="B1" s="153" t="s">
        <v>1</v>
      </c>
      <c r="C1" s="153" t="s">
        <v>2</v>
      </c>
      <c r="D1" s="153" t="s">
        <v>3</v>
      </c>
      <c r="E1" s="153" t="s">
        <v>4</v>
      </c>
      <c r="F1" s="153" t="s">
        <v>5</v>
      </c>
      <c r="G1" s="153" t="s">
        <v>6</v>
      </c>
      <c r="H1" s="153" t="s">
        <v>7</v>
      </c>
      <c r="I1" s="153" t="s">
        <v>8</v>
      </c>
      <c r="J1" s="153" t="s">
        <v>9</v>
      </c>
      <c r="K1" s="160" t="s">
        <v>10</v>
      </c>
      <c r="L1" s="153" t="s">
        <v>11</v>
      </c>
      <c r="M1" s="153" t="s">
        <v>12</v>
      </c>
      <c r="N1" s="153" t="s">
        <v>13</v>
      </c>
      <c r="O1" s="153" t="s">
        <v>14</v>
      </c>
      <c r="P1" s="153" t="s">
        <v>15</v>
      </c>
      <c r="Q1" s="160" t="s">
        <v>16</v>
      </c>
      <c r="R1" s="153" t="s">
        <v>17</v>
      </c>
      <c r="S1" s="153" t="s">
        <v>18</v>
      </c>
      <c r="T1" s="153" t="s">
        <v>19</v>
      </c>
      <c r="U1" s="153" t="s">
        <v>20</v>
      </c>
      <c r="V1" s="153" t="s">
        <v>21</v>
      </c>
      <c r="W1" s="160" t="s">
        <v>22</v>
      </c>
      <c r="X1" s="153" t="s">
        <v>23</v>
      </c>
      <c r="Y1" s="153" t="s">
        <v>24</v>
      </c>
      <c r="Z1" s="153" t="s">
        <v>25</v>
      </c>
      <c r="AA1" s="153" t="s">
        <v>26</v>
      </c>
      <c r="AB1" s="153" t="s">
        <v>27</v>
      </c>
      <c r="AC1" s="160" t="s">
        <v>28</v>
      </c>
      <c r="AD1" s="28" t="s">
        <v>29</v>
      </c>
    </row>
    <row r="2" spans="1:30" ht="46.2" customHeight="1" thickTop="1" thickBot="1" x14ac:dyDescent="0.35">
      <c r="A2" s="387" t="s">
        <v>30</v>
      </c>
      <c r="B2" s="394">
        <v>0.2</v>
      </c>
      <c r="C2" s="391" t="s">
        <v>31</v>
      </c>
      <c r="D2" s="398">
        <v>0.1</v>
      </c>
      <c r="E2" s="393" t="s">
        <v>32</v>
      </c>
      <c r="F2" s="395">
        <f>$B$2/4</f>
        <v>0.05</v>
      </c>
      <c r="G2" s="67" t="s">
        <v>33</v>
      </c>
      <c r="H2" s="141">
        <v>1</v>
      </c>
      <c r="I2" s="335">
        <v>1</v>
      </c>
      <c r="J2" s="331">
        <f>I2*$F$2</f>
        <v>0.05</v>
      </c>
      <c r="K2" s="356" t="s">
        <v>463</v>
      </c>
      <c r="L2" s="335">
        <v>1</v>
      </c>
      <c r="M2" s="331">
        <f>L2*$F$2</f>
        <v>0.05</v>
      </c>
      <c r="N2" s="335">
        <v>1</v>
      </c>
      <c r="O2" s="331">
        <f>N2*$F$2</f>
        <v>0.05</v>
      </c>
      <c r="P2" s="331">
        <f>AVERAGE(M2,O2)</f>
        <v>0.05</v>
      </c>
      <c r="Q2" s="356" t="s">
        <v>123</v>
      </c>
      <c r="R2" s="359">
        <v>0.9</v>
      </c>
      <c r="S2" s="368">
        <f>R2*$F$2</f>
        <v>4.5000000000000005E-2</v>
      </c>
      <c r="T2" s="359">
        <v>0.8</v>
      </c>
      <c r="U2" s="368">
        <f>T2*$F$2</f>
        <v>4.0000000000000008E-2</v>
      </c>
      <c r="V2" s="386">
        <f>AVERAGE(S2,U2)</f>
        <v>4.250000000000001E-2</v>
      </c>
      <c r="W2" s="528" t="s">
        <v>123</v>
      </c>
      <c r="X2" s="351">
        <v>1</v>
      </c>
      <c r="Y2" s="358">
        <f>X2*$F$2</f>
        <v>0.05</v>
      </c>
      <c r="Z2" s="349">
        <v>0.5</v>
      </c>
      <c r="AA2" s="358">
        <f>Z2*$F$2</f>
        <v>2.5000000000000001E-2</v>
      </c>
      <c r="AB2" s="350">
        <f>AVERAGE(Y2,AA2)</f>
        <v>3.7500000000000006E-2</v>
      </c>
      <c r="AC2" s="360" t="s">
        <v>464</v>
      </c>
      <c r="AD2" s="509" t="s">
        <v>38</v>
      </c>
    </row>
    <row r="3" spans="1:30" ht="46.2" customHeight="1" thickTop="1" thickBot="1" x14ac:dyDescent="0.35">
      <c r="A3" s="388"/>
      <c r="B3" s="341"/>
      <c r="C3" s="392"/>
      <c r="D3" s="341"/>
      <c r="E3" s="397"/>
      <c r="F3" s="341"/>
      <c r="G3" s="67" t="s">
        <v>39</v>
      </c>
      <c r="H3" s="142">
        <v>0.8</v>
      </c>
      <c r="I3" s="336"/>
      <c r="J3" s="336"/>
      <c r="K3" s="336"/>
      <c r="L3" s="336"/>
      <c r="M3" s="336"/>
      <c r="N3" s="336"/>
      <c r="O3" s="336"/>
      <c r="P3" s="336"/>
      <c r="Q3" s="336"/>
      <c r="R3" s="336"/>
      <c r="S3" s="336"/>
      <c r="T3" s="336"/>
      <c r="U3" s="336"/>
      <c r="V3" s="347"/>
      <c r="W3" s="361"/>
      <c r="X3" s="352"/>
      <c r="Y3" s="336"/>
      <c r="Z3" s="336"/>
      <c r="AA3" s="336"/>
      <c r="AB3" s="347"/>
      <c r="AC3" s="361"/>
      <c r="AD3" s="341"/>
    </row>
    <row r="4" spans="1:30" ht="46.2" customHeight="1" thickTop="1" thickBot="1" x14ac:dyDescent="0.35">
      <c r="A4" s="388"/>
      <c r="B4" s="341"/>
      <c r="C4" s="392"/>
      <c r="D4" s="341"/>
      <c r="E4" s="389"/>
      <c r="F4" s="389"/>
      <c r="G4" s="67" t="s">
        <v>40</v>
      </c>
      <c r="H4" s="77">
        <v>0</v>
      </c>
      <c r="I4" s="332"/>
      <c r="J4" s="332"/>
      <c r="K4" s="332"/>
      <c r="L4" s="332"/>
      <c r="M4" s="332"/>
      <c r="N4" s="332"/>
      <c r="O4" s="332"/>
      <c r="P4" s="332"/>
      <c r="Q4" s="332"/>
      <c r="R4" s="332"/>
      <c r="S4" s="332"/>
      <c r="T4" s="332"/>
      <c r="U4" s="332"/>
      <c r="V4" s="334"/>
      <c r="W4" s="362"/>
      <c r="X4" s="354"/>
      <c r="Y4" s="332"/>
      <c r="Z4" s="332"/>
      <c r="AA4" s="332"/>
      <c r="AB4" s="334"/>
      <c r="AC4" s="362"/>
      <c r="AD4" s="341"/>
    </row>
    <row r="5" spans="1:30" ht="142.5" customHeight="1" thickTop="1" thickBot="1" x14ac:dyDescent="0.35">
      <c r="A5" s="388"/>
      <c r="B5" s="341"/>
      <c r="C5" s="389"/>
      <c r="D5" s="389"/>
      <c r="E5" s="12" t="s">
        <v>41</v>
      </c>
      <c r="F5" s="74">
        <f>$B$2/4</f>
        <v>0.05</v>
      </c>
      <c r="G5" s="40" t="s">
        <v>42</v>
      </c>
      <c r="H5" s="77" t="s">
        <v>43</v>
      </c>
      <c r="I5" s="69">
        <v>1</v>
      </c>
      <c r="J5" s="70">
        <f>I5*$F$5</f>
        <v>0.05</v>
      </c>
      <c r="K5" s="71" t="s">
        <v>124</v>
      </c>
      <c r="L5" s="69">
        <v>1</v>
      </c>
      <c r="M5" s="70">
        <f>L5*$F$5</f>
        <v>0.05</v>
      </c>
      <c r="N5" s="69">
        <v>1</v>
      </c>
      <c r="O5" s="70">
        <f>N5*$F$5</f>
        <v>0.05</v>
      </c>
      <c r="P5" s="70">
        <f>AVERAGE(M5,O5)</f>
        <v>0.05</v>
      </c>
      <c r="Q5" s="71" t="s">
        <v>123</v>
      </c>
      <c r="R5" s="43">
        <v>1</v>
      </c>
      <c r="S5" s="48">
        <f>R5*$F$5</f>
        <v>0.05</v>
      </c>
      <c r="T5" s="43">
        <v>1</v>
      </c>
      <c r="U5" s="48">
        <f>T5*$F$5</f>
        <v>0.05</v>
      </c>
      <c r="V5" s="165">
        <f>AVERAGE(S5,U5)</f>
        <v>0.05</v>
      </c>
      <c r="W5" s="311" t="s">
        <v>125</v>
      </c>
      <c r="X5" s="201">
        <v>1</v>
      </c>
      <c r="Y5" s="48">
        <f>X5*$F$5</f>
        <v>0.05</v>
      </c>
      <c r="Z5" s="43">
        <v>0.5</v>
      </c>
      <c r="AA5" s="48">
        <f>Z5*$F$5</f>
        <v>2.5000000000000001E-2</v>
      </c>
      <c r="AB5" s="165">
        <f>AVERAGE(Y5,AA5)</f>
        <v>3.7500000000000006E-2</v>
      </c>
      <c r="AC5" s="231" t="s">
        <v>465</v>
      </c>
      <c r="AD5" s="110" t="s">
        <v>38</v>
      </c>
    </row>
    <row r="6" spans="1:30" ht="33.6" customHeight="1" thickTop="1" thickBot="1" x14ac:dyDescent="0.35">
      <c r="A6" s="388"/>
      <c r="B6" s="341"/>
      <c r="C6" s="391" t="s">
        <v>46</v>
      </c>
      <c r="D6" s="398">
        <v>0.1</v>
      </c>
      <c r="E6" s="393" t="s">
        <v>32</v>
      </c>
      <c r="F6" s="395">
        <f>$B$2/4</f>
        <v>0.05</v>
      </c>
      <c r="G6" s="67" t="s">
        <v>33</v>
      </c>
      <c r="H6" s="141">
        <v>1</v>
      </c>
      <c r="I6" s="335">
        <v>1</v>
      </c>
      <c r="J6" s="331">
        <f>I6*$F$6</f>
        <v>0.05</v>
      </c>
      <c r="K6" s="526" t="s">
        <v>466</v>
      </c>
      <c r="L6" s="335">
        <v>1</v>
      </c>
      <c r="M6" s="331">
        <f>L6*$F$6</f>
        <v>0.05</v>
      </c>
      <c r="N6" s="335">
        <v>1</v>
      </c>
      <c r="O6" s="331">
        <f>N6*$F$6</f>
        <v>0.05</v>
      </c>
      <c r="P6" s="331">
        <f>AVERAGE(M6,O6)</f>
        <v>0.05</v>
      </c>
      <c r="Q6" s="421" t="s">
        <v>168</v>
      </c>
      <c r="R6" s="359">
        <v>1</v>
      </c>
      <c r="S6" s="368">
        <f>R6*$F$6</f>
        <v>0.05</v>
      </c>
      <c r="T6" s="359">
        <v>1</v>
      </c>
      <c r="U6" s="368">
        <f>T6*$F$6</f>
        <v>0.05</v>
      </c>
      <c r="V6" s="386">
        <f>AVERAGE(S6,U6)</f>
        <v>0.05</v>
      </c>
      <c r="W6" s="525" t="s">
        <v>168</v>
      </c>
      <c r="X6" s="366">
        <v>1</v>
      </c>
      <c r="Y6" s="368">
        <f>X6*$F$6</f>
        <v>0.05</v>
      </c>
      <c r="Z6" s="359">
        <v>1</v>
      </c>
      <c r="AA6" s="368">
        <f>Z6*$F$6</f>
        <v>0.05</v>
      </c>
      <c r="AB6" s="386">
        <f>AVERAGE(Y6,AA6)</f>
        <v>0.05</v>
      </c>
      <c r="AC6" s="530" t="s">
        <v>168</v>
      </c>
      <c r="AD6" s="491" t="s">
        <v>38</v>
      </c>
    </row>
    <row r="7" spans="1:30" ht="33.6" customHeight="1" thickTop="1" thickBot="1" x14ac:dyDescent="0.35">
      <c r="A7" s="388"/>
      <c r="B7" s="341"/>
      <c r="C7" s="392"/>
      <c r="D7" s="341"/>
      <c r="E7" s="397"/>
      <c r="F7" s="341"/>
      <c r="G7" s="67" t="s">
        <v>39</v>
      </c>
      <c r="H7" s="142">
        <v>0.8</v>
      </c>
      <c r="I7" s="336"/>
      <c r="J7" s="336"/>
      <c r="K7" s="336"/>
      <c r="L7" s="336"/>
      <c r="M7" s="336"/>
      <c r="N7" s="336"/>
      <c r="O7" s="336"/>
      <c r="P7" s="336"/>
      <c r="Q7" s="336"/>
      <c r="R7" s="336"/>
      <c r="S7" s="336"/>
      <c r="T7" s="336"/>
      <c r="U7" s="336"/>
      <c r="V7" s="347"/>
      <c r="W7" s="361"/>
      <c r="X7" s="352"/>
      <c r="Y7" s="336"/>
      <c r="Z7" s="336"/>
      <c r="AA7" s="336"/>
      <c r="AB7" s="347"/>
      <c r="AC7" s="361"/>
      <c r="AD7" s="341"/>
    </row>
    <row r="8" spans="1:30" ht="60" customHeight="1" thickTop="1" thickBot="1" x14ac:dyDescent="0.35">
      <c r="A8" s="388"/>
      <c r="B8" s="341"/>
      <c r="C8" s="392"/>
      <c r="D8" s="341"/>
      <c r="E8" s="389"/>
      <c r="F8" s="389"/>
      <c r="G8" s="67" t="s">
        <v>40</v>
      </c>
      <c r="H8" s="77">
        <v>0.5</v>
      </c>
      <c r="I8" s="332"/>
      <c r="J8" s="332"/>
      <c r="K8" s="332"/>
      <c r="L8" s="332"/>
      <c r="M8" s="332"/>
      <c r="N8" s="332"/>
      <c r="O8" s="332"/>
      <c r="P8" s="332"/>
      <c r="Q8" s="332"/>
      <c r="R8" s="332"/>
      <c r="S8" s="332"/>
      <c r="T8" s="332"/>
      <c r="U8" s="332"/>
      <c r="V8" s="334"/>
      <c r="W8" s="362"/>
      <c r="X8" s="354"/>
      <c r="Y8" s="332"/>
      <c r="Z8" s="332"/>
      <c r="AA8" s="332"/>
      <c r="AB8" s="334"/>
      <c r="AC8" s="362"/>
      <c r="AD8" s="341"/>
    </row>
    <row r="9" spans="1:30" ht="141" customHeight="1" thickTop="1" thickBot="1" x14ac:dyDescent="0.4">
      <c r="A9" s="389"/>
      <c r="B9" s="389"/>
      <c r="C9" s="389"/>
      <c r="D9" s="389"/>
      <c r="E9" s="12" t="s">
        <v>41</v>
      </c>
      <c r="F9" s="74">
        <f>$B$2/4</f>
        <v>0.05</v>
      </c>
      <c r="G9" s="40" t="s">
        <v>42</v>
      </c>
      <c r="H9" s="77" t="s">
        <v>43</v>
      </c>
      <c r="I9" s="69">
        <v>1</v>
      </c>
      <c r="J9" s="70">
        <f>I9*$F$9</f>
        <v>0.05</v>
      </c>
      <c r="K9" s="163" t="s">
        <v>467</v>
      </c>
      <c r="L9" s="69">
        <v>1</v>
      </c>
      <c r="M9" s="70">
        <f>L9*$F$9</f>
        <v>0.05</v>
      </c>
      <c r="N9" s="69">
        <v>1</v>
      </c>
      <c r="O9" s="70">
        <f>N9*$F$9</f>
        <v>0.05</v>
      </c>
      <c r="P9" s="164">
        <f t="shared" ref="P9:P14" si="0">AVERAGE(M9,O9)</f>
        <v>0.05</v>
      </c>
      <c r="Q9" s="169" t="s">
        <v>170</v>
      </c>
      <c r="R9" s="43">
        <v>0.9</v>
      </c>
      <c r="S9" s="48">
        <f>R9*$F$9</f>
        <v>4.5000000000000005E-2</v>
      </c>
      <c r="T9" s="43">
        <v>0.9</v>
      </c>
      <c r="U9" s="48">
        <f>T9*$F$9</f>
        <v>4.5000000000000005E-2</v>
      </c>
      <c r="V9" s="165">
        <f>AVERAGE(S9,U9)</f>
        <v>4.5000000000000005E-2</v>
      </c>
      <c r="W9" s="312" t="s">
        <v>468</v>
      </c>
      <c r="X9" s="201">
        <v>0.9</v>
      </c>
      <c r="Y9" s="48">
        <f>X9*$F$9</f>
        <v>4.5000000000000005E-2</v>
      </c>
      <c r="Z9" s="43">
        <v>0.9</v>
      </c>
      <c r="AA9" s="48">
        <f>Z9*$F$9</f>
        <v>4.5000000000000005E-2</v>
      </c>
      <c r="AB9" s="165">
        <f>AVERAGE(Y9,AA9)</f>
        <v>4.5000000000000005E-2</v>
      </c>
      <c r="AC9" s="316" t="s">
        <v>469</v>
      </c>
      <c r="AD9" s="110" t="s">
        <v>38</v>
      </c>
    </row>
    <row r="10" spans="1:30" ht="136.19999999999999" customHeight="1" thickTop="1" thickBot="1" x14ac:dyDescent="0.35">
      <c r="A10" s="387" t="s">
        <v>55</v>
      </c>
      <c r="B10" s="394">
        <v>0.25</v>
      </c>
      <c r="C10" s="79" t="s">
        <v>31</v>
      </c>
      <c r="D10" s="80">
        <v>0.2</v>
      </c>
      <c r="E10" s="10" t="s">
        <v>56</v>
      </c>
      <c r="F10" s="80">
        <v>0.2</v>
      </c>
      <c r="G10" s="81" t="s">
        <v>57</v>
      </c>
      <c r="H10" s="82" t="s">
        <v>43</v>
      </c>
      <c r="I10" s="69">
        <v>1</v>
      </c>
      <c r="J10" s="70">
        <f>I10*$F$10</f>
        <v>0.2</v>
      </c>
      <c r="K10" s="78"/>
      <c r="L10" s="69">
        <v>1</v>
      </c>
      <c r="M10" s="70">
        <f>L10*$F$10</f>
        <v>0.2</v>
      </c>
      <c r="N10" s="69">
        <v>1</v>
      </c>
      <c r="O10" s="70">
        <f>N10*$F$10</f>
        <v>0.2</v>
      </c>
      <c r="P10" s="70">
        <f t="shared" si="0"/>
        <v>0.2</v>
      </c>
      <c r="Q10" s="183" t="s">
        <v>134</v>
      </c>
      <c r="R10" s="43">
        <v>0.95</v>
      </c>
      <c r="S10" s="48">
        <f>R10*$F$10</f>
        <v>0.19</v>
      </c>
      <c r="T10" s="43">
        <v>0.9</v>
      </c>
      <c r="U10" s="48">
        <f>T10*$F$10</f>
        <v>0.18000000000000002</v>
      </c>
      <c r="V10" s="165">
        <f>AVERAGE(S10,U10)</f>
        <v>0.185</v>
      </c>
      <c r="W10" s="313" t="s">
        <v>470</v>
      </c>
      <c r="X10" s="201">
        <v>1</v>
      </c>
      <c r="Y10" s="48">
        <f>X10*$F$10</f>
        <v>0.2</v>
      </c>
      <c r="Z10" s="43">
        <v>0.5</v>
      </c>
      <c r="AA10" s="48">
        <f>Z10*$F$10</f>
        <v>0.1</v>
      </c>
      <c r="AB10" s="165">
        <f>AVERAGE(Y10,AA10)</f>
        <v>0.15000000000000002</v>
      </c>
      <c r="AC10" s="253" t="s">
        <v>471</v>
      </c>
      <c r="AD10" s="119" t="s">
        <v>38</v>
      </c>
    </row>
    <row r="11" spans="1:30" ht="111" customHeight="1" thickTop="1" thickBot="1" x14ac:dyDescent="0.35">
      <c r="A11" s="388"/>
      <c r="B11" s="341"/>
      <c r="C11" s="79" t="s">
        <v>60</v>
      </c>
      <c r="D11" s="80">
        <v>0.03</v>
      </c>
      <c r="E11" s="10" t="s">
        <v>61</v>
      </c>
      <c r="F11" s="80">
        <v>0.03</v>
      </c>
      <c r="G11" s="81" t="s">
        <v>62</v>
      </c>
      <c r="H11" s="82" t="s">
        <v>43</v>
      </c>
      <c r="I11" s="69">
        <v>1</v>
      </c>
      <c r="J11" s="70">
        <f>I11*$F$11</f>
        <v>0.03</v>
      </c>
      <c r="K11" s="78" t="s">
        <v>472</v>
      </c>
      <c r="L11" s="69">
        <v>1</v>
      </c>
      <c r="M11" s="70">
        <f>L11*$F$11</f>
        <v>0.03</v>
      </c>
      <c r="N11" s="69">
        <v>1</v>
      </c>
      <c r="O11" s="70">
        <f>N11*$F$11</f>
        <v>0.03</v>
      </c>
      <c r="P11" s="164">
        <f t="shared" si="0"/>
        <v>0.03</v>
      </c>
      <c r="Q11" s="272" t="s">
        <v>180</v>
      </c>
      <c r="R11" s="43">
        <v>1</v>
      </c>
      <c r="S11" s="48">
        <f>R11*$F$11</f>
        <v>0.03</v>
      </c>
      <c r="T11" s="43">
        <v>1</v>
      </c>
      <c r="U11" s="48">
        <f>T11*$F$11</f>
        <v>0.03</v>
      </c>
      <c r="V11" s="165">
        <f>AVERAGE(S11,U11)</f>
        <v>0.03</v>
      </c>
      <c r="W11" s="314" t="s">
        <v>65</v>
      </c>
      <c r="X11" s="201">
        <v>1</v>
      </c>
      <c r="Y11" s="48">
        <f>X11*$F$11</f>
        <v>0.03</v>
      </c>
      <c r="Z11" s="43">
        <v>1</v>
      </c>
      <c r="AA11" s="48">
        <f>Z11*$F$11</f>
        <v>0.03</v>
      </c>
      <c r="AB11" s="165">
        <f>AVERAGE(Y11,AA11)</f>
        <v>0.03</v>
      </c>
      <c r="AC11" s="238" t="s">
        <v>473</v>
      </c>
      <c r="AD11" s="119" t="s">
        <v>38</v>
      </c>
    </row>
    <row r="12" spans="1:30" ht="127.5" customHeight="1" thickTop="1" thickBot="1" x14ac:dyDescent="0.35">
      <c r="A12" s="389"/>
      <c r="B12" s="389"/>
      <c r="C12" s="86" t="s">
        <v>67</v>
      </c>
      <c r="D12" s="72">
        <v>0.02</v>
      </c>
      <c r="E12" s="18" t="s">
        <v>68</v>
      </c>
      <c r="F12" s="72">
        <v>0.02</v>
      </c>
      <c r="G12" s="87" t="s">
        <v>69</v>
      </c>
      <c r="H12" s="88" t="s">
        <v>43</v>
      </c>
      <c r="I12" s="69">
        <v>0.57140000000000002</v>
      </c>
      <c r="J12" s="70">
        <f>I12*$F$12</f>
        <v>1.1428000000000001E-2</v>
      </c>
      <c r="K12" s="78" t="s">
        <v>474</v>
      </c>
      <c r="L12" s="69">
        <v>0.66669999999999996</v>
      </c>
      <c r="M12" s="70">
        <f>L12*$F$12</f>
        <v>1.3333999999999999E-2</v>
      </c>
      <c r="N12" s="69">
        <v>0.66669999999999996</v>
      </c>
      <c r="O12" s="70">
        <f>N12*$F$12</f>
        <v>1.3333999999999999E-2</v>
      </c>
      <c r="P12" s="70">
        <f t="shared" si="0"/>
        <v>1.3333999999999999E-2</v>
      </c>
      <c r="Q12" s="189" t="s">
        <v>475</v>
      </c>
      <c r="R12" s="43">
        <v>0.33329999999999999</v>
      </c>
      <c r="S12" s="48">
        <f>R12*$F$12</f>
        <v>6.6660000000000001E-3</v>
      </c>
      <c r="T12" s="43">
        <v>0.33329999999999999</v>
      </c>
      <c r="U12" s="48">
        <f>T12*$F$12</f>
        <v>6.6660000000000001E-3</v>
      </c>
      <c r="V12" s="165">
        <f>AVERAGE(S12,U12)</f>
        <v>6.6660000000000001E-3</v>
      </c>
      <c r="W12" s="315" t="s">
        <v>476</v>
      </c>
      <c r="X12" s="221">
        <v>0.33329999999999999</v>
      </c>
      <c r="Y12" s="200">
        <f>X12*$F$12</f>
        <v>6.6660000000000001E-3</v>
      </c>
      <c r="Z12" s="211">
        <v>0.33329999999999999</v>
      </c>
      <c r="AA12" s="200">
        <f>Z12*$F$12</f>
        <v>6.6660000000000001E-3</v>
      </c>
      <c r="AB12" s="223">
        <f>AVERAGE(Y12,AA12)</f>
        <v>6.6660000000000001E-3</v>
      </c>
      <c r="AC12" s="281" t="s">
        <v>477</v>
      </c>
      <c r="AD12" s="103" t="s">
        <v>38</v>
      </c>
    </row>
    <row r="13" spans="1:30" ht="102" customHeight="1" thickTop="1" thickBot="1" x14ac:dyDescent="0.35">
      <c r="A13" s="387" t="s">
        <v>74</v>
      </c>
      <c r="B13" s="394">
        <v>0.25</v>
      </c>
      <c r="C13" s="390" t="s">
        <v>75</v>
      </c>
      <c r="D13" s="400">
        <f>B13</f>
        <v>0.25</v>
      </c>
      <c r="E13" s="10" t="s">
        <v>76</v>
      </c>
      <c r="F13" s="90">
        <f>D13*0.8</f>
        <v>0.2</v>
      </c>
      <c r="G13" s="81" t="s">
        <v>77</v>
      </c>
      <c r="H13" s="91" t="s">
        <v>43</v>
      </c>
      <c r="I13" s="69">
        <v>0.33329999999999999</v>
      </c>
      <c r="J13" s="70">
        <f>I13*$F$13</f>
        <v>6.6659999999999997E-2</v>
      </c>
      <c r="K13" s="92" t="s">
        <v>478</v>
      </c>
      <c r="L13" s="69">
        <v>1</v>
      </c>
      <c r="M13" s="70">
        <f>L13*$F$13</f>
        <v>0.2</v>
      </c>
      <c r="N13" s="69">
        <v>0.75</v>
      </c>
      <c r="O13" s="70">
        <f>N13*$F$13</f>
        <v>0.15000000000000002</v>
      </c>
      <c r="P13" s="70">
        <f t="shared" si="0"/>
        <v>0.17500000000000002</v>
      </c>
      <c r="Q13" s="446" t="s">
        <v>479</v>
      </c>
      <c r="R13" s="420">
        <v>0.5</v>
      </c>
      <c r="S13" s="364"/>
      <c r="T13" s="364"/>
      <c r="U13" s="365"/>
      <c r="V13" s="165">
        <f>R13*F13</f>
        <v>0.1</v>
      </c>
      <c r="W13" s="529" t="s">
        <v>480</v>
      </c>
      <c r="X13" s="402">
        <v>0.33329999999999999</v>
      </c>
      <c r="Y13" s="374"/>
      <c r="Z13" s="374"/>
      <c r="AA13" s="375"/>
      <c r="AB13" s="161">
        <f>X13*F13</f>
        <v>6.6659999999999997E-2</v>
      </c>
      <c r="AC13" s="501" t="s">
        <v>481</v>
      </c>
      <c r="AD13" s="115" t="s">
        <v>82</v>
      </c>
    </row>
    <row r="14" spans="1:30" ht="102" customHeight="1" thickTop="1" thickBot="1" x14ac:dyDescent="0.35">
      <c r="A14" s="389"/>
      <c r="B14" s="389"/>
      <c r="C14" s="389"/>
      <c r="D14" s="389"/>
      <c r="E14" s="12" t="s">
        <v>83</v>
      </c>
      <c r="F14" s="94">
        <f>D13*0.2</f>
        <v>0.05</v>
      </c>
      <c r="G14" s="84" t="s">
        <v>84</v>
      </c>
      <c r="H14" s="93" t="s">
        <v>43</v>
      </c>
      <c r="I14" s="69">
        <v>0</v>
      </c>
      <c r="J14" s="70">
        <f>I14*$F$14</f>
        <v>0</v>
      </c>
      <c r="K14" s="92" t="s">
        <v>482</v>
      </c>
      <c r="L14" s="69">
        <v>0.66669999999999996</v>
      </c>
      <c r="M14" s="70">
        <f>L14*$F$14</f>
        <v>3.3334999999999997E-2</v>
      </c>
      <c r="N14" s="69">
        <v>0.25</v>
      </c>
      <c r="O14" s="70">
        <f>N14*$F$14</f>
        <v>1.2500000000000001E-2</v>
      </c>
      <c r="P14" s="70">
        <f t="shared" si="0"/>
        <v>2.29175E-2</v>
      </c>
      <c r="Q14" s="332"/>
      <c r="R14" s="420">
        <v>1</v>
      </c>
      <c r="S14" s="364"/>
      <c r="T14" s="364"/>
      <c r="U14" s="365"/>
      <c r="V14" s="165">
        <f>R14*F14</f>
        <v>0.05</v>
      </c>
      <c r="W14" s="362"/>
      <c r="X14" s="402">
        <v>0</v>
      </c>
      <c r="Y14" s="374"/>
      <c r="Z14" s="374"/>
      <c r="AA14" s="375"/>
      <c r="AB14" s="161">
        <f>X14*F14</f>
        <v>0</v>
      </c>
      <c r="AC14" s="362"/>
      <c r="AD14" s="110" t="s">
        <v>82</v>
      </c>
    </row>
    <row r="15" spans="1:30" ht="66" customHeight="1" thickTop="1" thickBot="1" x14ac:dyDescent="0.35">
      <c r="A15" s="387" t="s">
        <v>86</v>
      </c>
      <c r="B15" s="394">
        <v>0.3</v>
      </c>
      <c r="C15" s="390" t="s">
        <v>87</v>
      </c>
      <c r="D15" s="400">
        <f>$B$15/2</f>
        <v>0.15</v>
      </c>
      <c r="E15" s="393" t="s">
        <v>88</v>
      </c>
      <c r="F15" s="400">
        <f>$B$15/2</f>
        <v>0.15</v>
      </c>
      <c r="G15" s="95" t="s">
        <v>89</v>
      </c>
      <c r="H15" s="89">
        <v>1</v>
      </c>
      <c r="I15" s="335">
        <v>1</v>
      </c>
      <c r="J15" s="331">
        <f>I15*$F$15</f>
        <v>0.15</v>
      </c>
      <c r="K15" s="369" t="s">
        <v>90</v>
      </c>
      <c r="L15" s="335">
        <v>1</v>
      </c>
      <c r="M15" s="346"/>
      <c r="N15" s="346"/>
      <c r="O15" s="396"/>
      <c r="P15" s="331">
        <f>L15*$F15</f>
        <v>0.15</v>
      </c>
      <c r="Q15" s="369" t="s">
        <v>91</v>
      </c>
      <c r="R15" s="359">
        <v>1</v>
      </c>
      <c r="S15" s="346"/>
      <c r="T15" s="346"/>
      <c r="U15" s="396"/>
      <c r="V15" s="386">
        <f>R15*$F15</f>
        <v>0.15</v>
      </c>
      <c r="W15" s="399" t="s">
        <v>92</v>
      </c>
      <c r="X15" s="527">
        <v>1</v>
      </c>
      <c r="Y15" s="348"/>
      <c r="Z15" s="348"/>
      <c r="AA15" s="348"/>
      <c r="AB15" s="350">
        <f>(X15*D15)</f>
        <v>0.15</v>
      </c>
      <c r="AC15" s="399" t="s">
        <v>92</v>
      </c>
      <c r="AD15" s="491" t="s">
        <v>93</v>
      </c>
    </row>
    <row r="16" spans="1:30" ht="66" customHeight="1" thickTop="1" thickBot="1" x14ac:dyDescent="0.35">
      <c r="A16" s="388"/>
      <c r="B16" s="341"/>
      <c r="C16" s="389"/>
      <c r="D16" s="389"/>
      <c r="E16" s="389"/>
      <c r="F16" s="389"/>
      <c r="G16" s="96" t="s">
        <v>94</v>
      </c>
      <c r="H16" s="93">
        <v>0</v>
      </c>
      <c r="I16" s="332"/>
      <c r="J16" s="332"/>
      <c r="K16" s="332"/>
      <c r="L16" s="334"/>
      <c r="M16" s="353"/>
      <c r="N16" s="353"/>
      <c r="O16" s="354"/>
      <c r="P16" s="332"/>
      <c r="Q16" s="332"/>
      <c r="R16" s="334"/>
      <c r="S16" s="353"/>
      <c r="T16" s="353"/>
      <c r="U16" s="354"/>
      <c r="V16" s="334"/>
      <c r="W16" s="362"/>
      <c r="X16" s="353"/>
      <c r="Y16" s="353"/>
      <c r="Z16" s="353"/>
      <c r="AA16" s="353"/>
      <c r="AB16" s="334"/>
      <c r="AC16" s="362"/>
      <c r="AD16" s="341"/>
    </row>
    <row r="17" spans="1:30" ht="130.5" customHeight="1" thickTop="1" thickBot="1" x14ac:dyDescent="0.35">
      <c r="A17" s="389"/>
      <c r="B17" s="389"/>
      <c r="C17" s="37" t="s">
        <v>95</v>
      </c>
      <c r="D17" s="91">
        <v>0.15</v>
      </c>
      <c r="E17" s="9" t="s">
        <v>96</v>
      </c>
      <c r="F17" s="91">
        <v>0.15</v>
      </c>
      <c r="G17" s="81" t="s">
        <v>97</v>
      </c>
      <c r="H17" s="91">
        <v>1</v>
      </c>
      <c r="I17" s="69">
        <v>0.3231</v>
      </c>
      <c r="J17" s="70">
        <f>I17*$F$17</f>
        <v>4.8465000000000001E-2</v>
      </c>
      <c r="K17" s="78" t="s">
        <v>483</v>
      </c>
      <c r="L17" s="493">
        <v>0.7127</v>
      </c>
      <c r="M17" s="364"/>
      <c r="N17" s="364"/>
      <c r="O17" s="365"/>
      <c r="P17" s="70">
        <f>L17*$F17</f>
        <v>0.106905</v>
      </c>
      <c r="Q17" s="78" t="s">
        <v>484</v>
      </c>
      <c r="R17" s="359">
        <v>0.7127</v>
      </c>
      <c r="S17" s="364"/>
      <c r="T17" s="364"/>
      <c r="U17" s="365"/>
      <c r="V17" s="165">
        <f>R17*$F17</f>
        <v>0.106905</v>
      </c>
      <c r="W17" s="298" t="s">
        <v>485</v>
      </c>
      <c r="X17" s="423">
        <v>0.80640000000000001</v>
      </c>
      <c r="Y17" s="364"/>
      <c r="Z17" s="364"/>
      <c r="AA17" s="365"/>
      <c r="AB17" s="165">
        <f>X17*D17</f>
        <v>0.12096</v>
      </c>
      <c r="AC17" s="237" t="s">
        <v>486</v>
      </c>
      <c r="AD17" s="119" t="s">
        <v>93</v>
      </c>
    </row>
    <row r="18" spans="1:30" ht="26.7" customHeight="1" thickTop="1" x14ac:dyDescent="0.3">
      <c r="I18" s="7" t="s">
        <v>102</v>
      </c>
      <c r="J18" s="6">
        <f>SUM(J2:J17)</f>
        <v>0.7065530000000001</v>
      </c>
      <c r="O18" s="7" t="s">
        <v>102</v>
      </c>
      <c r="P18" s="6">
        <f>SUM(P2:P17)</f>
        <v>0.89815650000000014</v>
      </c>
      <c r="Q18" s="166"/>
      <c r="U18" s="7" t="s">
        <v>102</v>
      </c>
      <c r="V18" s="65">
        <f>SUM(V2:V17)</f>
        <v>0.81607100000000021</v>
      </c>
      <c r="W18" s="166"/>
      <c r="X18" s="224"/>
      <c r="Y18" s="225"/>
      <c r="Z18" s="224"/>
      <c r="AA18" s="7" t="s">
        <v>102</v>
      </c>
      <c r="AB18" s="6">
        <f>SUM(AB2:AB17)</f>
        <v>0.69428600000000007</v>
      </c>
      <c r="AC18" s="276"/>
    </row>
  </sheetData>
  <mergeCells count="89">
    <mergeCell ref="X2:X4"/>
    <mergeCell ref="B13:B14"/>
    <mergeCell ref="L17:O17"/>
    <mergeCell ref="D13:D14"/>
    <mergeCell ref="A15:A17"/>
    <mergeCell ref="V2:V4"/>
    <mergeCell ref="B2:B9"/>
    <mergeCell ref="D15:D16"/>
    <mergeCell ref="U2:U4"/>
    <mergeCell ref="R13:U13"/>
    <mergeCell ref="C2:C5"/>
    <mergeCell ref="P6:P8"/>
    <mergeCell ref="S2:S4"/>
    <mergeCell ref="M6:M8"/>
    <mergeCell ref="B10:B12"/>
    <mergeCell ref="B15:B17"/>
    <mergeCell ref="A13:A14"/>
    <mergeCell ref="W15:W16"/>
    <mergeCell ref="AC15:AC16"/>
    <mergeCell ref="D2:D5"/>
    <mergeCell ref="X15:AA16"/>
    <mergeCell ref="J2:J4"/>
    <mergeCell ref="L2:L4"/>
    <mergeCell ref="F6:F8"/>
    <mergeCell ref="I2:I4"/>
    <mergeCell ref="AB15:AB16"/>
    <mergeCell ref="W2:W4"/>
    <mergeCell ref="O2:O4"/>
    <mergeCell ref="Q2:Q4"/>
    <mergeCell ref="I6:I8"/>
    <mergeCell ref="E15:E16"/>
    <mergeCell ref="W13:W14"/>
    <mergeCell ref="V6:V8"/>
    <mergeCell ref="X17:AA17"/>
    <mergeCell ref="AA6:AA8"/>
    <mergeCell ref="J6:J8"/>
    <mergeCell ref="P15:P16"/>
    <mergeCell ref="X6:X8"/>
    <mergeCell ref="Y6:Y8"/>
    <mergeCell ref="X14:AA14"/>
    <mergeCell ref="R15:U16"/>
    <mergeCell ref="L15:O16"/>
    <mergeCell ref="K6:K8"/>
    <mergeCell ref="Q15:Q16"/>
    <mergeCell ref="O6:O8"/>
    <mergeCell ref="X13:AA13"/>
    <mergeCell ref="U6:U8"/>
    <mergeCell ref="R6:R8"/>
    <mergeCell ref="S6:S8"/>
    <mergeCell ref="AD6:AD8"/>
    <mergeCell ref="F2:F4"/>
    <mergeCell ref="Z2:Z4"/>
    <mergeCell ref="AB2:AB4"/>
    <mergeCell ref="E2:E4"/>
    <mergeCell ref="AA2:AA4"/>
    <mergeCell ref="AC2:AC4"/>
    <mergeCell ref="AD2:AD4"/>
    <mergeCell ref="Y2:Y4"/>
    <mergeCell ref="R2:R4"/>
    <mergeCell ref="T6:T8"/>
    <mergeCell ref="Q6:Q8"/>
    <mergeCell ref="T2:T4"/>
    <mergeCell ref="AC6:AC8"/>
    <mergeCell ref="N6:N8"/>
    <mergeCell ref="AB6:AB8"/>
    <mergeCell ref="R17:U17"/>
    <mergeCell ref="K2:K4"/>
    <mergeCell ref="D6:D9"/>
    <mergeCell ref="J15:J16"/>
    <mergeCell ref="M2:M4"/>
    <mergeCell ref="P2:P4"/>
    <mergeCell ref="I15:I16"/>
    <mergeCell ref="K15:K16"/>
    <mergeCell ref="AD15:AD16"/>
    <mergeCell ref="V15:V16"/>
    <mergeCell ref="L6:L8"/>
    <mergeCell ref="R14:U14"/>
    <mergeCell ref="A10:A12"/>
    <mergeCell ref="Z6:Z8"/>
    <mergeCell ref="W6:W8"/>
    <mergeCell ref="E6:E8"/>
    <mergeCell ref="C13:C14"/>
    <mergeCell ref="A2:A9"/>
    <mergeCell ref="Q13:Q14"/>
    <mergeCell ref="N2:N4"/>
    <mergeCell ref="C15:C16"/>
    <mergeCell ref="AC13:AC14"/>
    <mergeCell ref="C6:C9"/>
    <mergeCell ref="F15:F16"/>
  </mergeCells>
  <printOptions horizontalCentered="1"/>
  <pageMargins left="0.23622047244094491" right="0.23622047244094491" top="0.74803149606299213" bottom="0.74803149606299213" header="0.31496062992125978" footer="0.31496062992125978"/>
  <pageSetup scale="41" fitToHeight="0"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Hoja15">
    <tabColor theme="7" tint="0.39997558519241921"/>
  </sheetPr>
  <dimension ref="A1:AD13"/>
  <sheetViews>
    <sheetView topLeftCell="A8" zoomScale="70" zoomScaleNormal="70" zoomScaleSheetLayoutView="70" workbookViewId="0">
      <selection activeCell="E10" sqref="E10:E11"/>
    </sheetView>
  </sheetViews>
  <sheetFormatPr baseColWidth="10" defaultColWidth="11.44140625" defaultRowHeight="21" x14ac:dyDescent="0.4"/>
  <cols>
    <col min="1" max="1" width="20.6640625" style="5" customWidth="1"/>
    <col min="2" max="2" width="9.109375" customWidth="1"/>
    <col min="3" max="3" width="19.6640625" style="4" customWidth="1"/>
    <col min="4" max="4" width="13.6640625" customWidth="1"/>
    <col min="5" max="5" width="40.6640625" style="3" customWidth="1"/>
    <col min="6" max="6" width="8" customWidth="1"/>
    <col min="7" max="7" width="51.109375" customWidth="1"/>
    <col min="8" max="8" width="10.109375" customWidth="1"/>
    <col min="9" max="9" width="25.6640625" style="2" customWidth="1"/>
    <col min="10" max="10" width="25.6640625" style="1" customWidth="1"/>
    <col min="11" max="11" width="70.6640625" customWidth="1"/>
    <col min="12" max="16" width="25.6640625" customWidth="1"/>
    <col min="17" max="17" width="61.33203125" style="171" customWidth="1"/>
    <col min="18" max="22" width="17.33203125" customWidth="1"/>
    <col min="23" max="23" width="74.6640625" customWidth="1"/>
    <col min="24" max="24" width="20.88671875" customWidth="1"/>
    <col min="25" max="25" width="22.6640625" customWidth="1"/>
    <col min="26" max="26" width="23" customWidth="1"/>
    <col min="27" max="27" width="20.88671875" customWidth="1"/>
    <col min="28" max="28" width="18.6640625" style="140" customWidth="1"/>
    <col min="29" max="29" width="87.33203125" customWidth="1"/>
  </cols>
  <sheetData>
    <row r="1" spans="1:30" s="28" customFormat="1" ht="51.45" customHeight="1" thickTop="1" thickBot="1" x14ac:dyDescent="0.35">
      <c r="A1" s="153" t="s">
        <v>0</v>
      </c>
      <c r="B1" s="153" t="s">
        <v>1</v>
      </c>
      <c r="C1" s="153" t="s">
        <v>2</v>
      </c>
      <c r="D1" s="153" t="s">
        <v>3</v>
      </c>
      <c r="E1" s="153" t="s">
        <v>4</v>
      </c>
      <c r="F1" s="153" t="s">
        <v>5</v>
      </c>
      <c r="G1" s="153" t="s">
        <v>6</v>
      </c>
      <c r="H1" s="153" t="s">
        <v>7</v>
      </c>
      <c r="I1" s="153" t="s">
        <v>8</v>
      </c>
      <c r="J1" s="153" t="s">
        <v>9</v>
      </c>
      <c r="K1" s="160" t="s">
        <v>10</v>
      </c>
      <c r="L1" s="153" t="s">
        <v>11</v>
      </c>
      <c r="M1" s="153" t="s">
        <v>12</v>
      </c>
      <c r="N1" s="153" t="s">
        <v>13</v>
      </c>
      <c r="O1" s="153" t="s">
        <v>14</v>
      </c>
      <c r="P1" s="153" t="s">
        <v>15</v>
      </c>
      <c r="Q1" s="160" t="s">
        <v>16</v>
      </c>
      <c r="R1" s="153" t="s">
        <v>17</v>
      </c>
      <c r="S1" s="153" t="s">
        <v>18</v>
      </c>
      <c r="T1" s="153" t="s">
        <v>19</v>
      </c>
      <c r="U1" s="153" t="s">
        <v>20</v>
      </c>
      <c r="V1" s="153" t="s">
        <v>21</v>
      </c>
      <c r="W1" s="160" t="s">
        <v>22</v>
      </c>
      <c r="X1" s="153" t="s">
        <v>23</v>
      </c>
      <c r="Y1" s="153" t="s">
        <v>24</v>
      </c>
      <c r="Z1" s="153" t="s">
        <v>25</v>
      </c>
      <c r="AA1" s="153" t="s">
        <v>26</v>
      </c>
      <c r="AB1" s="153" t="s">
        <v>27</v>
      </c>
      <c r="AC1" s="160" t="s">
        <v>28</v>
      </c>
      <c r="AD1" s="28" t="s">
        <v>29</v>
      </c>
    </row>
    <row r="2" spans="1:30" ht="18.600000000000001" customHeight="1" thickTop="1" thickBot="1" x14ac:dyDescent="0.35">
      <c r="A2" s="387" t="s">
        <v>30</v>
      </c>
      <c r="B2" s="414">
        <v>0.2</v>
      </c>
      <c r="C2" s="339" t="s">
        <v>46</v>
      </c>
      <c r="D2" s="533">
        <v>0.2</v>
      </c>
      <c r="E2" s="340" t="s">
        <v>32</v>
      </c>
      <c r="F2" s="538">
        <v>0.1</v>
      </c>
      <c r="G2" s="40" t="s">
        <v>33</v>
      </c>
      <c r="H2" s="27">
        <v>1</v>
      </c>
      <c r="I2" s="359">
        <v>1</v>
      </c>
      <c r="J2" s="531">
        <f>I2*$F$2</f>
        <v>0.1</v>
      </c>
      <c r="K2" s="412" t="s">
        <v>487</v>
      </c>
      <c r="L2" s="359">
        <v>1</v>
      </c>
      <c r="M2" s="531">
        <f>L2*$F$2</f>
        <v>0.1</v>
      </c>
      <c r="N2" s="359">
        <v>1</v>
      </c>
      <c r="O2" s="531">
        <f>N2*$F$2</f>
        <v>0.1</v>
      </c>
      <c r="P2" s="531">
        <f>AVERAGE(M2,O2)</f>
        <v>0.1</v>
      </c>
      <c r="Q2" s="421" t="s">
        <v>168</v>
      </c>
      <c r="R2" s="359">
        <v>1</v>
      </c>
      <c r="S2" s="531">
        <f>R2*$F$2</f>
        <v>0.1</v>
      </c>
      <c r="T2" s="359">
        <v>1</v>
      </c>
      <c r="U2" s="531">
        <f>T2*$F$2</f>
        <v>0.1</v>
      </c>
      <c r="V2" s="532">
        <f>AVERAGE(S2,U2)</f>
        <v>0.1</v>
      </c>
      <c r="W2" s="510" t="s">
        <v>168</v>
      </c>
      <c r="X2" s="351">
        <v>1</v>
      </c>
      <c r="Y2" s="358">
        <f>X2*$F$2</f>
        <v>0.1</v>
      </c>
      <c r="Z2" s="349">
        <v>1</v>
      </c>
      <c r="AA2" s="358">
        <f>Z2*$F$2</f>
        <v>0.1</v>
      </c>
      <c r="AB2" s="350">
        <f>AVERAGE(Y2,AA2)</f>
        <v>0.1</v>
      </c>
      <c r="AC2" s="432" t="s">
        <v>168</v>
      </c>
      <c r="AD2" s="340" t="s">
        <v>38</v>
      </c>
    </row>
    <row r="3" spans="1:30" ht="18.600000000000001" customHeight="1" thickTop="1" thickBot="1" x14ac:dyDescent="0.35">
      <c r="A3" s="388"/>
      <c r="B3" s="341"/>
      <c r="C3" s="392"/>
      <c r="D3" s="341"/>
      <c r="E3" s="397"/>
      <c r="F3" s="341"/>
      <c r="G3" s="40" t="s">
        <v>39</v>
      </c>
      <c r="H3" s="26">
        <v>0.8</v>
      </c>
      <c r="I3" s="336"/>
      <c r="J3" s="336"/>
      <c r="K3" s="336"/>
      <c r="L3" s="336"/>
      <c r="M3" s="336"/>
      <c r="N3" s="336"/>
      <c r="O3" s="336"/>
      <c r="P3" s="336"/>
      <c r="Q3" s="336"/>
      <c r="R3" s="336"/>
      <c r="S3" s="336"/>
      <c r="T3" s="336"/>
      <c r="U3" s="336"/>
      <c r="V3" s="347"/>
      <c r="W3" s="361"/>
      <c r="X3" s="352"/>
      <c r="Y3" s="336"/>
      <c r="Z3" s="336"/>
      <c r="AA3" s="336"/>
      <c r="AB3" s="347"/>
      <c r="AC3" s="361"/>
      <c r="AD3" s="341"/>
    </row>
    <row r="4" spans="1:30" ht="25.5" customHeight="1" thickTop="1" thickBot="1" x14ac:dyDescent="0.35">
      <c r="A4" s="388"/>
      <c r="B4" s="341"/>
      <c r="C4" s="392"/>
      <c r="D4" s="341"/>
      <c r="E4" s="397"/>
      <c r="F4" s="341"/>
      <c r="G4" s="40" t="s">
        <v>40</v>
      </c>
      <c r="H4" s="25">
        <v>0.5</v>
      </c>
      <c r="I4" s="332"/>
      <c r="J4" s="332"/>
      <c r="K4" s="332"/>
      <c r="L4" s="332"/>
      <c r="M4" s="332"/>
      <c r="N4" s="332"/>
      <c r="O4" s="332"/>
      <c r="P4" s="332"/>
      <c r="Q4" s="332"/>
      <c r="R4" s="332"/>
      <c r="S4" s="332"/>
      <c r="T4" s="332"/>
      <c r="U4" s="332"/>
      <c r="V4" s="334"/>
      <c r="W4" s="362"/>
      <c r="X4" s="354"/>
      <c r="Y4" s="332"/>
      <c r="Z4" s="332"/>
      <c r="AA4" s="332"/>
      <c r="AB4" s="334"/>
      <c r="AC4" s="362"/>
      <c r="AD4" s="341"/>
    </row>
    <row r="5" spans="1:30" ht="124.2" customHeight="1" thickTop="1" thickBot="1" x14ac:dyDescent="0.35">
      <c r="A5" s="389"/>
      <c r="B5" s="389"/>
      <c r="C5" s="392"/>
      <c r="D5" s="341"/>
      <c r="E5" s="12" t="s">
        <v>41</v>
      </c>
      <c r="F5" s="24">
        <v>0.1</v>
      </c>
      <c r="G5" s="40" t="s">
        <v>42</v>
      </c>
      <c r="H5" s="23" t="s">
        <v>43</v>
      </c>
      <c r="I5" s="43">
        <v>0.5</v>
      </c>
      <c r="J5" s="44">
        <f>I5*$F$5</f>
        <v>0.05</v>
      </c>
      <c r="K5" s="47" t="s">
        <v>488</v>
      </c>
      <c r="L5" s="43">
        <v>0.7</v>
      </c>
      <c r="M5" s="44">
        <f>L5*$F$5</f>
        <v>6.9999999999999993E-2</v>
      </c>
      <c r="N5" s="43">
        <v>0.8</v>
      </c>
      <c r="O5" s="44">
        <f>N5*$F$5</f>
        <v>8.0000000000000016E-2</v>
      </c>
      <c r="P5" s="44">
        <f>AVERAGE(M5,O5)</f>
        <v>7.5000000000000011E-2</v>
      </c>
      <c r="Q5" s="78" t="s">
        <v>489</v>
      </c>
      <c r="R5" s="43">
        <v>0.86</v>
      </c>
      <c r="S5" s="44">
        <f>R5*$F$5</f>
        <v>8.6000000000000007E-2</v>
      </c>
      <c r="T5" s="43">
        <v>0.86</v>
      </c>
      <c r="U5" s="44">
        <f>T5*$F$5</f>
        <v>8.6000000000000007E-2</v>
      </c>
      <c r="V5" s="199">
        <f>AVERAGE(S5,U5)</f>
        <v>8.6000000000000007E-2</v>
      </c>
      <c r="W5" s="283" t="s">
        <v>490</v>
      </c>
      <c r="X5" s="201">
        <v>0.86</v>
      </c>
      <c r="Y5" s="200">
        <f>X5*$F$5</f>
        <v>8.6000000000000007E-2</v>
      </c>
      <c r="Z5" s="43">
        <v>0.86</v>
      </c>
      <c r="AA5" s="48">
        <f>Z5*$F$5</f>
        <v>8.6000000000000007E-2</v>
      </c>
      <c r="AB5" s="165">
        <f>AVERAGE(Y5,AA5)</f>
        <v>8.6000000000000007E-2</v>
      </c>
      <c r="AC5" s="322" t="s">
        <v>491</v>
      </c>
      <c r="AD5" s="12" t="s">
        <v>38</v>
      </c>
    </row>
    <row r="6" spans="1:30" s="140" customFormat="1" ht="60.75" customHeight="1" thickTop="1" thickBot="1" x14ac:dyDescent="0.35">
      <c r="A6" s="451" t="s">
        <v>55</v>
      </c>
      <c r="B6" s="428">
        <v>0.25</v>
      </c>
      <c r="C6" s="30" t="s">
        <v>60</v>
      </c>
      <c r="D6" s="20">
        <v>0.2</v>
      </c>
      <c r="E6" s="10" t="s">
        <v>61</v>
      </c>
      <c r="F6" s="20">
        <v>0.2</v>
      </c>
      <c r="G6" s="32" t="s">
        <v>62</v>
      </c>
      <c r="H6" s="19" t="s">
        <v>43</v>
      </c>
      <c r="I6" s="43">
        <v>1</v>
      </c>
      <c r="J6" s="44">
        <f>I6*$F$6</f>
        <v>0.2</v>
      </c>
      <c r="K6" s="47" t="s">
        <v>492</v>
      </c>
      <c r="L6" s="43">
        <v>1</v>
      </c>
      <c r="M6" s="44">
        <f>L6*$F$6</f>
        <v>0.2</v>
      </c>
      <c r="N6" s="43">
        <v>1</v>
      </c>
      <c r="O6" s="44">
        <f>N6*$F$6</f>
        <v>0.2</v>
      </c>
      <c r="P6" s="44">
        <f>AVERAGE(M6,O6)</f>
        <v>0.2</v>
      </c>
      <c r="Q6" s="272" t="s">
        <v>180</v>
      </c>
      <c r="R6" s="43">
        <v>1</v>
      </c>
      <c r="S6" s="44">
        <f>R6*$F$6</f>
        <v>0.2</v>
      </c>
      <c r="T6" s="43">
        <v>1</v>
      </c>
      <c r="U6" s="44">
        <f>T6*$F$6</f>
        <v>0.2</v>
      </c>
      <c r="V6" s="199">
        <f>AVERAGE(S6,U6)</f>
        <v>0.2</v>
      </c>
      <c r="W6" s="230" t="s">
        <v>65</v>
      </c>
      <c r="X6" s="323">
        <v>1</v>
      </c>
      <c r="Y6" s="206">
        <f>X6*$F$6</f>
        <v>0.2</v>
      </c>
      <c r="Z6" s="207">
        <v>1</v>
      </c>
      <c r="AA6" s="48">
        <f>Z6*$F$6</f>
        <v>0.2</v>
      </c>
      <c r="AB6" s="165">
        <f>AVERAGE(Y6,AA6)</f>
        <v>0.2</v>
      </c>
      <c r="AC6" s="238" t="s">
        <v>493</v>
      </c>
      <c r="AD6" s="10" t="s">
        <v>38</v>
      </c>
    </row>
    <row r="7" spans="1:30" ht="127.5" customHeight="1" thickTop="1" thickBot="1" x14ac:dyDescent="0.35">
      <c r="A7" s="389"/>
      <c r="B7" s="389"/>
      <c r="C7" s="31" t="s">
        <v>67</v>
      </c>
      <c r="D7" s="17">
        <v>0.05</v>
      </c>
      <c r="E7" s="18" t="s">
        <v>68</v>
      </c>
      <c r="F7" s="17">
        <v>0.05</v>
      </c>
      <c r="G7" s="35" t="s">
        <v>69</v>
      </c>
      <c r="H7" s="4" t="s">
        <v>43</v>
      </c>
      <c r="I7" s="43">
        <v>0.1666</v>
      </c>
      <c r="J7" s="44">
        <f>I7*$F$7</f>
        <v>8.3300000000000006E-3</v>
      </c>
      <c r="K7" s="47" t="s">
        <v>494</v>
      </c>
      <c r="L7" s="43">
        <v>9.0899999999999995E-2</v>
      </c>
      <c r="M7" s="44">
        <f>L7*$F$7</f>
        <v>4.5449999999999996E-3</v>
      </c>
      <c r="N7" s="43">
        <v>9.0899999999999995E-2</v>
      </c>
      <c r="O7" s="44">
        <f>N7*$F$7</f>
        <v>4.5449999999999996E-3</v>
      </c>
      <c r="P7" s="180">
        <f>AVERAGE(M7,O7)</f>
        <v>4.5449999999999996E-3</v>
      </c>
      <c r="Q7" s="189" t="s">
        <v>495</v>
      </c>
      <c r="R7" s="43">
        <v>0</v>
      </c>
      <c r="S7" s="44">
        <f>R7*$F$7</f>
        <v>0</v>
      </c>
      <c r="T7" s="43">
        <v>0</v>
      </c>
      <c r="U7" s="44">
        <f>T7*$F$7</f>
        <v>0</v>
      </c>
      <c r="V7" s="198">
        <f>AVERAGE(S7,U7)</f>
        <v>0</v>
      </c>
      <c r="W7" s="304" t="s">
        <v>496</v>
      </c>
      <c r="X7" s="324">
        <v>0</v>
      </c>
      <c r="Y7" s="208">
        <f>X7*$F$6</f>
        <v>0</v>
      </c>
      <c r="Z7" s="209">
        <v>0</v>
      </c>
      <c r="AA7" s="48">
        <f>Z7*$F$6</f>
        <v>0</v>
      </c>
      <c r="AB7" s="165">
        <f>AVERAGE(Y7,AA7)</f>
        <v>0</v>
      </c>
      <c r="AC7" s="307" t="s">
        <v>497</v>
      </c>
      <c r="AD7" s="18" t="s">
        <v>38</v>
      </c>
    </row>
    <row r="8" spans="1:30" ht="119.25" customHeight="1" thickTop="1" thickBot="1" x14ac:dyDescent="0.35">
      <c r="A8" s="422" t="s">
        <v>74</v>
      </c>
      <c r="B8" s="414">
        <v>0.25</v>
      </c>
      <c r="C8" s="390" t="s">
        <v>75</v>
      </c>
      <c r="D8" s="416">
        <f>B8</f>
        <v>0.25</v>
      </c>
      <c r="E8" s="14" t="s">
        <v>76</v>
      </c>
      <c r="F8" s="16">
        <f>D8*0.8</f>
        <v>0.2</v>
      </c>
      <c r="G8" s="32" t="s">
        <v>77</v>
      </c>
      <c r="H8" s="13" t="s">
        <v>43</v>
      </c>
      <c r="I8" s="43">
        <v>0.45</v>
      </c>
      <c r="J8" s="44">
        <f>I8*$F$8</f>
        <v>9.0000000000000011E-2</v>
      </c>
      <c r="K8" s="61" t="s">
        <v>498</v>
      </c>
      <c r="L8" s="43">
        <v>1</v>
      </c>
      <c r="M8" s="44">
        <f>L8*$F$8</f>
        <v>0.2</v>
      </c>
      <c r="N8" s="43">
        <v>0.5</v>
      </c>
      <c r="O8" s="44">
        <f>N8*$F$8</f>
        <v>0.1</v>
      </c>
      <c r="P8" s="180">
        <f>AVERAGE(M8,O8)</f>
        <v>0.15000000000000002</v>
      </c>
      <c r="Q8" s="446" t="s">
        <v>499</v>
      </c>
      <c r="R8" s="537">
        <v>1</v>
      </c>
      <c r="S8" s="364"/>
      <c r="T8" s="364"/>
      <c r="U8" s="365"/>
      <c r="V8" s="198">
        <f>R8*F8</f>
        <v>0.2</v>
      </c>
      <c r="W8" s="403" t="s">
        <v>500</v>
      </c>
      <c r="X8" s="435">
        <v>1</v>
      </c>
      <c r="Y8" s="364"/>
      <c r="Z8" s="364"/>
      <c r="AA8" s="434"/>
      <c r="AB8" s="165">
        <f>X8*F8</f>
        <v>0.2</v>
      </c>
      <c r="AC8" s="534" t="s">
        <v>501</v>
      </c>
      <c r="AD8" s="14" t="s">
        <v>82</v>
      </c>
    </row>
    <row r="9" spans="1:30" ht="160.5" customHeight="1" thickTop="1" thickBot="1" x14ac:dyDescent="0.35">
      <c r="A9" s="389"/>
      <c r="B9" s="389"/>
      <c r="C9" s="389"/>
      <c r="D9" s="389"/>
      <c r="E9" s="12" t="s">
        <v>83</v>
      </c>
      <c r="F9" s="15">
        <f>D8*0.2</f>
        <v>0.05</v>
      </c>
      <c r="G9" s="34" t="s">
        <v>84</v>
      </c>
      <c r="H9" s="11" t="s">
        <v>43</v>
      </c>
      <c r="I9" s="43">
        <v>1</v>
      </c>
      <c r="J9" s="44">
        <f>I9*$F$9</f>
        <v>0.05</v>
      </c>
      <c r="K9" s="61" t="s">
        <v>502</v>
      </c>
      <c r="L9" s="43">
        <v>1</v>
      </c>
      <c r="M9" s="44">
        <f>L9*$F$9</f>
        <v>0.05</v>
      </c>
      <c r="N9" s="43">
        <v>1</v>
      </c>
      <c r="O9" s="44">
        <f>N9*$F$9</f>
        <v>0.05</v>
      </c>
      <c r="P9" s="180">
        <f>AVERAGE(M9,O9)</f>
        <v>0.05</v>
      </c>
      <c r="Q9" s="332"/>
      <c r="R9" s="537">
        <v>1</v>
      </c>
      <c r="S9" s="364"/>
      <c r="T9" s="364"/>
      <c r="U9" s="365"/>
      <c r="V9" s="198">
        <f>R9*F9</f>
        <v>0.05</v>
      </c>
      <c r="W9" s="404"/>
      <c r="X9" s="535">
        <v>0</v>
      </c>
      <c r="Y9" s="346"/>
      <c r="Z9" s="346"/>
      <c r="AA9" s="536"/>
      <c r="AB9" s="223">
        <f>X9*F9</f>
        <v>0</v>
      </c>
      <c r="AC9" s="361"/>
      <c r="AD9" s="12" t="s">
        <v>82</v>
      </c>
    </row>
    <row r="10" spans="1:30" ht="84" customHeight="1" thickTop="1" x14ac:dyDescent="0.3">
      <c r="A10" s="422" t="s">
        <v>86</v>
      </c>
      <c r="B10" s="414">
        <v>0.3</v>
      </c>
      <c r="C10" s="390" t="s">
        <v>87</v>
      </c>
      <c r="D10" s="416">
        <f>$B$10/2</f>
        <v>0.15</v>
      </c>
      <c r="E10" s="393" t="s">
        <v>88</v>
      </c>
      <c r="F10" s="416">
        <f>$B$10/2</f>
        <v>0.15</v>
      </c>
      <c r="G10" s="38" t="s">
        <v>89</v>
      </c>
      <c r="H10" s="13">
        <v>1</v>
      </c>
      <c r="I10" s="359">
        <v>1</v>
      </c>
      <c r="J10" s="531">
        <f>I10*$F$10</f>
        <v>0.15</v>
      </c>
      <c r="K10" s="412" t="s">
        <v>503</v>
      </c>
      <c r="L10" s="359">
        <v>1</v>
      </c>
      <c r="M10" s="346"/>
      <c r="N10" s="346"/>
      <c r="O10" s="396"/>
      <c r="P10" s="531">
        <f>L10*$F10</f>
        <v>0.15</v>
      </c>
      <c r="Q10" s="369" t="s">
        <v>91</v>
      </c>
      <c r="R10" s="359">
        <v>1</v>
      </c>
      <c r="S10" s="346"/>
      <c r="T10" s="346"/>
      <c r="U10" s="396"/>
      <c r="V10" s="532">
        <f>R10*$F10</f>
        <v>0.15</v>
      </c>
      <c r="W10" s="399" t="s">
        <v>92</v>
      </c>
      <c r="X10" s="423">
        <v>1</v>
      </c>
      <c r="Y10" s="346"/>
      <c r="Z10" s="346"/>
      <c r="AA10" s="396"/>
      <c r="AB10" s="386">
        <f>X10*D10</f>
        <v>0.15</v>
      </c>
      <c r="AC10" s="399" t="s">
        <v>92</v>
      </c>
      <c r="AD10" s="393" t="s">
        <v>93</v>
      </c>
    </row>
    <row r="11" spans="1:30" ht="84" customHeight="1" thickBot="1" x14ac:dyDescent="0.35">
      <c r="A11" s="388"/>
      <c r="B11" s="341"/>
      <c r="C11" s="389"/>
      <c r="D11" s="389"/>
      <c r="E11" s="389"/>
      <c r="F11" s="389"/>
      <c r="G11" s="39" t="s">
        <v>94</v>
      </c>
      <c r="H11" s="11">
        <v>0</v>
      </c>
      <c r="I11" s="332"/>
      <c r="J11" s="332"/>
      <c r="K11" s="332"/>
      <c r="L11" s="334"/>
      <c r="M11" s="353"/>
      <c r="N11" s="353"/>
      <c r="O11" s="354"/>
      <c r="P11" s="332"/>
      <c r="Q11" s="332"/>
      <c r="R11" s="334"/>
      <c r="S11" s="353"/>
      <c r="T11" s="353"/>
      <c r="U11" s="354"/>
      <c r="V11" s="334"/>
      <c r="W11" s="362"/>
      <c r="X11" s="353"/>
      <c r="Y11" s="353"/>
      <c r="Z11" s="353"/>
      <c r="AA11" s="354"/>
      <c r="AB11" s="334"/>
      <c r="AC11" s="362"/>
      <c r="AD11" s="389"/>
    </row>
    <row r="12" spans="1:30" ht="84" customHeight="1" thickTop="1" thickBot="1" x14ac:dyDescent="0.35">
      <c r="A12" s="389"/>
      <c r="B12" s="389"/>
      <c r="C12" s="37" t="s">
        <v>95</v>
      </c>
      <c r="D12" s="8">
        <v>0.15</v>
      </c>
      <c r="E12" s="9" t="s">
        <v>96</v>
      </c>
      <c r="F12" s="8">
        <v>0.15</v>
      </c>
      <c r="G12" s="32" t="s">
        <v>97</v>
      </c>
      <c r="H12" s="8">
        <v>1</v>
      </c>
      <c r="I12" s="43">
        <v>0.66669999999999996</v>
      </c>
      <c r="J12" s="44">
        <f>I12*$F$12</f>
        <v>0.100005</v>
      </c>
      <c r="K12" s="47" t="s">
        <v>504</v>
      </c>
      <c r="L12" s="359">
        <v>0.83330000000000004</v>
      </c>
      <c r="M12" s="364"/>
      <c r="N12" s="364"/>
      <c r="O12" s="365"/>
      <c r="P12" s="44">
        <f>L12*$F12</f>
        <v>0.12499499999999999</v>
      </c>
      <c r="Q12" s="78" t="s">
        <v>505</v>
      </c>
      <c r="R12" s="359">
        <v>0.83330000000000004</v>
      </c>
      <c r="S12" s="364"/>
      <c r="T12" s="364"/>
      <c r="U12" s="365"/>
      <c r="V12" s="199">
        <f>R12*$F12</f>
        <v>0.12499499999999999</v>
      </c>
      <c r="W12" s="242" t="s">
        <v>506</v>
      </c>
      <c r="X12" s="437">
        <v>1</v>
      </c>
      <c r="Y12" s="346"/>
      <c r="Z12" s="346"/>
      <c r="AA12" s="396"/>
      <c r="AB12" s="165">
        <f>X12*D12</f>
        <v>0.15</v>
      </c>
      <c r="AC12" s="237" t="s">
        <v>101</v>
      </c>
      <c r="AD12" s="10" t="s">
        <v>93</v>
      </c>
    </row>
    <row r="13" spans="1:30" ht="26.7" customHeight="1" thickTop="1" x14ac:dyDescent="0.3">
      <c r="I13" s="7" t="s">
        <v>102</v>
      </c>
      <c r="J13" s="6">
        <f>SUM(J2:J12)</f>
        <v>0.74833500000000008</v>
      </c>
      <c r="O13" s="7" t="s">
        <v>102</v>
      </c>
      <c r="P13" s="6">
        <f>SUM(P2:P12)</f>
        <v>0.85454000000000008</v>
      </c>
      <c r="Q13" s="166"/>
      <c r="U13" s="7" t="s">
        <v>102</v>
      </c>
      <c r="V13" s="6">
        <f>SUM(V2:V12)</f>
        <v>0.91099500000000011</v>
      </c>
      <c r="W13" s="166"/>
      <c r="X13" s="224"/>
      <c r="Y13" s="225"/>
      <c r="Z13" s="224"/>
      <c r="AA13" s="7" t="s">
        <v>102</v>
      </c>
      <c r="AB13" s="6">
        <f>SUM(AB2:AB12)</f>
        <v>0.88600000000000012</v>
      </c>
      <c r="AC13" s="265"/>
    </row>
  </sheetData>
  <mergeCells count="63">
    <mergeCell ref="AD10:AD11"/>
    <mergeCell ref="T2:T4"/>
    <mergeCell ref="Q8:Q9"/>
    <mergeCell ref="V10:V11"/>
    <mergeCell ref="AB10:AB11"/>
    <mergeCell ref="AD2:AD4"/>
    <mergeCell ref="AC8:AC9"/>
    <mergeCell ref="B8:B9"/>
    <mergeCell ref="W2:W4"/>
    <mergeCell ref="O2:O4"/>
    <mergeCell ref="X9:AA9"/>
    <mergeCell ref="R9:U9"/>
    <mergeCell ref="R8:U8"/>
    <mergeCell ref="S2:S4"/>
    <mergeCell ref="P2:P4"/>
    <mergeCell ref="F2:F4"/>
    <mergeCell ref="Y2:Y4"/>
    <mergeCell ref="N2:N4"/>
    <mergeCell ref="Z2:Z4"/>
    <mergeCell ref="AB2:AB4"/>
    <mergeCell ref="E2:E4"/>
    <mergeCell ref="A6:A7"/>
    <mergeCell ref="Q2:Q4"/>
    <mergeCell ref="E10:E11"/>
    <mergeCell ref="B2:B5"/>
    <mergeCell ref="D2:D5"/>
    <mergeCell ref="Q10:Q11"/>
    <mergeCell ref="A10:A12"/>
    <mergeCell ref="B6:B7"/>
    <mergeCell ref="I2:I4"/>
    <mergeCell ref="A8:A9"/>
    <mergeCell ref="C8:C9"/>
    <mergeCell ref="A2:A5"/>
    <mergeCell ref="C2:C5"/>
    <mergeCell ref="D8:D9"/>
    <mergeCell ref="I10:I11"/>
    <mergeCell ref="K2:K4"/>
    <mergeCell ref="X12:AA12"/>
    <mergeCell ref="AA2:AA4"/>
    <mergeCell ref="J2:J4"/>
    <mergeCell ref="V2:V4"/>
    <mergeCell ref="AC2:AC4"/>
    <mergeCell ref="L2:L4"/>
    <mergeCell ref="X2:X4"/>
    <mergeCell ref="R2:R4"/>
    <mergeCell ref="AC10:AC11"/>
    <mergeCell ref="L10:O11"/>
    <mergeCell ref="U2:U4"/>
    <mergeCell ref="X8:AA8"/>
    <mergeCell ref="X10:AA11"/>
    <mergeCell ref="W8:W9"/>
    <mergeCell ref="L12:O12"/>
    <mergeCell ref="M2:M4"/>
    <mergeCell ref="K10:K11"/>
    <mergeCell ref="W10:W11"/>
    <mergeCell ref="D10:D11"/>
    <mergeCell ref="B10:B12"/>
    <mergeCell ref="R12:U12"/>
    <mergeCell ref="F10:F11"/>
    <mergeCell ref="J10:J11"/>
    <mergeCell ref="C10:C11"/>
    <mergeCell ref="P10:P11"/>
    <mergeCell ref="R10:U11"/>
  </mergeCells>
  <printOptions horizontalCentered="1"/>
  <pageMargins left="0.23622047244094491" right="0.23622047244094491" top="0.74803149606299213" bottom="0.74803149606299213" header="0.31496062992125978" footer="0.31496062992125978"/>
  <pageSetup scale="45"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Hoja14">
    <tabColor theme="7" tint="0.39997558519241921"/>
  </sheetPr>
  <dimension ref="A1:AD13"/>
  <sheetViews>
    <sheetView topLeftCell="A7" zoomScale="55" zoomScaleNormal="55" zoomScaleSheetLayoutView="55" workbookViewId="0">
      <selection activeCell="A10" sqref="A10:A12"/>
    </sheetView>
  </sheetViews>
  <sheetFormatPr baseColWidth="10" defaultColWidth="11.44140625" defaultRowHeight="21" x14ac:dyDescent="0.4"/>
  <cols>
    <col min="1" max="1" width="20.6640625" style="5" customWidth="1"/>
    <col min="2" max="2" width="17.33203125" customWidth="1"/>
    <col min="3" max="3" width="19.6640625" style="4" customWidth="1"/>
    <col min="4" max="4" width="17.5546875" customWidth="1"/>
    <col min="5" max="5" width="40.6640625" style="3" customWidth="1"/>
    <col min="6" max="6" width="24.77734375" customWidth="1"/>
    <col min="7" max="7" width="51.109375" customWidth="1"/>
    <col min="8" max="8" width="25" customWidth="1"/>
    <col min="9" max="9" width="40.5546875" style="2" customWidth="1"/>
    <col min="10" max="10" width="43.77734375" style="1" customWidth="1"/>
    <col min="11" max="11" width="70.6640625" customWidth="1"/>
    <col min="12" max="13" width="32.77734375" customWidth="1"/>
    <col min="14" max="16" width="46.88671875" customWidth="1"/>
    <col min="17" max="17" width="58.44140625" style="140" customWidth="1"/>
    <col min="18" max="19" width="32.77734375" customWidth="1"/>
    <col min="20" max="21" width="44.21875" customWidth="1"/>
    <col min="22" max="22" width="27.109375" customWidth="1"/>
    <col min="23" max="23" width="78.33203125" customWidth="1"/>
    <col min="24" max="25" width="30.88671875" customWidth="1"/>
    <col min="26" max="27" width="32" customWidth="1"/>
    <col min="28" max="28" width="22.21875" customWidth="1"/>
    <col min="29" max="29" width="74.33203125" customWidth="1"/>
    <col min="30" max="30" width="25.21875" customWidth="1"/>
  </cols>
  <sheetData>
    <row r="1" spans="1:30" s="28" customFormat="1" ht="51.45" customHeight="1" thickTop="1" thickBot="1" x14ac:dyDescent="0.35">
      <c r="A1" s="153" t="s">
        <v>0</v>
      </c>
      <c r="B1" s="153" t="s">
        <v>1</v>
      </c>
      <c r="C1" s="153" t="s">
        <v>2</v>
      </c>
      <c r="D1" s="153" t="s">
        <v>3</v>
      </c>
      <c r="E1" s="153" t="s">
        <v>4</v>
      </c>
      <c r="F1" s="153" t="s">
        <v>5</v>
      </c>
      <c r="G1" s="153" t="s">
        <v>6</v>
      </c>
      <c r="H1" s="153" t="s">
        <v>7</v>
      </c>
      <c r="I1" s="153" t="s">
        <v>8</v>
      </c>
      <c r="J1" s="153" t="s">
        <v>9</v>
      </c>
      <c r="K1" s="160" t="s">
        <v>10</v>
      </c>
      <c r="L1" s="153" t="s">
        <v>11</v>
      </c>
      <c r="M1" s="153" t="s">
        <v>12</v>
      </c>
      <c r="N1" s="153" t="s">
        <v>13</v>
      </c>
      <c r="O1" s="153" t="s">
        <v>14</v>
      </c>
      <c r="P1" s="153" t="s">
        <v>15</v>
      </c>
      <c r="Q1" s="160" t="s">
        <v>16</v>
      </c>
      <c r="R1" s="153" t="s">
        <v>17</v>
      </c>
      <c r="S1" s="153" t="s">
        <v>18</v>
      </c>
      <c r="T1" s="153" t="s">
        <v>19</v>
      </c>
      <c r="U1" s="153" t="s">
        <v>20</v>
      </c>
      <c r="V1" s="153" t="s">
        <v>21</v>
      </c>
      <c r="W1" s="160" t="s">
        <v>22</v>
      </c>
      <c r="X1" s="153" t="s">
        <v>23</v>
      </c>
      <c r="Y1" s="153" t="s">
        <v>24</v>
      </c>
      <c r="Z1" s="153" t="s">
        <v>25</v>
      </c>
      <c r="AA1" s="153" t="s">
        <v>26</v>
      </c>
      <c r="AB1" s="153" t="s">
        <v>27</v>
      </c>
      <c r="AC1" s="160" t="s">
        <v>28</v>
      </c>
      <c r="AD1" s="28" t="s">
        <v>29</v>
      </c>
    </row>
    <row r="2" spans="1:30" ht="18.600000000000001" customHeight="1" thickTop="1" thickBot="1" x14ac:dyDescent="0.35">
      <c r="A2" s="408" t="s">
        <v>30</v>
      </c>
      <c r="B2" s="428">
        <v>0.2</v>
      </c>
      <c r="C2" s="391" t="s">
        <v>46</v>
      </c>
      <c r="D2" s="409">
        <v>0.2</v>
      </c>
      <c r="E2" s="393" t="s">
        <v>32</v>
      </c>
      <c r="F2" s="413">
        <f>20%/2</f>
        <v>0.1</v>
      </c>
      <c r="G2" s="40" t="s">
        <v>33</v>
      </c>
      <c r="H2" s="27">
        <v>1</v>
      </c>
      <c r="I2" s="359">
        <v>0.5</v>
      </c>
      <c r="J2" s="368">
        <f>I2*$F$2</f>
        <v>0.05</v>
      </c>
      <c r="K2" s="448" t="s">
        <v>507</v>
      </c>
      <c r="L2" s="359">
        <v>0.5</v>
      </c>
      <c r="M2" s="368">
        <f>L2*$F$2</f>
        <v>0.05</v>
      </c>
      <c r="N2" s="359">
        <v>0.5</v>
      </c>
      <c r="O2" s="368">
        <f>N2*$F$2</f>
        <v>0.05</v>
      </c>
      <c r="P2" s="368">
        <f>AVERAGE(M2,O2)</f>
        <v>0.05</v>
      </c>
      <c r="Q2" s="448" t="s">
        <v>508</v>
      </c>
      <c r="R2" s="359">
        <v>0.5</v>
      </c>
      <c r="S2" s="368">
        <f>R2*$F$2</f>
        <v>0.05</v>
      </c>
      <c r="T2" s="359">
        <v>0.5</v>
      </c>
      <c r="U2" s="368">
        <f>T2*$F$2</f>
        <v>0.05</v>
      </c>
      <c r="V2" s="386">
        <f>AVERAGE(S2,U2)</f>
        <v>0.05</v>
      </c>
      <c r="W2" s="480" t="s">
        <v>508</v>
      </c>
      <c r="X2" s="351">
        <v>0.5</v>
      </c>
      <c r="Y2" s="358">
        <f>X2*$F$2</f>
        <v>0.05</v>
      </c>
      <c r="Z2" s="349">
        <v>0.5</v>
      </c>
      <c r="AA2" s="358">
        <f>Z2*$F$2</f>
        <v>0.05</v>
      </c>
      <c r="AB2" s="350">
        <f>AVERAGE(Y2,AA2)</f>
        <v>0.05</v>
      </c>
      <c r="AC2" s="480" t="s">
        <v>508</v>
      </c>
      <c r="AD2" s="393" t="s">
        <v>38</v>
      </c>
    </row>
    <row r="3" spans="1:30" ht="18.600000000000001" customHeight="1" thickTop="1" thickBot="1" x14ac:dyDescent="0.35">
      <c r="A3" s="388"/>
      <c r="B3" s="341"/>
      <c r="C3" s="392"/>
      <c r="D3" s="341"/>
      <c r="E3" s="397"/>
      <c r="F3" s="341"/>
      <c r="G3" s="40" t="s">
        <v>39</v>
      </c>
      <c r="H3" s="26">
        <v>0.8</v>
      </c>
      <c r="I3" s="336"/>
      <c r="J3" s="336"/>
      <c r="K3" s="336"/>
      <c r="L3" s="336"/>
      <c r="M3" s="336"/>
      <c r="N3" s="336"/>
      <c r="O3" s="336"/>
      <c r="P3" s="336"/>
      <c r="Q3" s="336"/>
      <c r="R3" s="336"/>
      <c r="S3" s="336"/>
      <c r="T3" s="336"/>
      <c r="U3" s="336"/>
      <c r="V3" s="347"/>
      <c r="W3" s="361"/>
      <c r="X3" s="352"/>
      <c r="Y3" s="336"/>
      <c r="Z3" s="336"/>
      <c r="AA3" s="336"/>
      <c r="AB3" s="347"/>
      <c r="AC3" s="361"/>
      <c r="AD3" s="341"/>
    </row>
    <row r="4" spans="1:30" ht="18.600000000000001" customHeight="1" thickTop="1" thickBot="1" x14ac:dyDescent="0.35">
      <c r="A4" s="388"/>
      <c r="B4" s="341"/>
      <c r="C4" s="392"/>
      <c r="D4" s="341"/>
      <c r="E4" s="389"/>
      <c r="F4" s="389"/>
      <c r="G4" s="40" t="s">
        <v>40</v>
      </c>
      <c r="H4" s="25">
        <v>0.5</v>
      </c>
      <c r="I4" s="332"/>
      <c r="J4" s="332"/>
      <c r="K4" s="332"/>
      <c r="L4" s="332"/>
      <c r="M4" s="332"/>
      <c r="N4" s="332"/>
      <c r="O4" s="332"/>
      <c r="P4" s="332"/>
      <c r="Q4" s="332"/>
      <c r="R4" s="332"/>
      <c r="S4" s="332"/>
      <c r="T4" s="332"/>
      <c r="U4" s="332"/>
      <c r="V4" s="334"/>
      <c r="W4" s="362"/>
      <c r="X4" s="354"/>
      <c r="Y4" s="332"/>
      <c r="Z4" s="332"/>
      <c r="AA4" s="332"/>
      <c r="AB4" s="334"/>
      <c r="AC4" s="362"/>
      <c r="AD4" s="389"/>
    </row>
    <row r="5" spans="1:30" ht="152.4" customHeight="1" thickTop="1" thickBot="1" x14ac:dyDescent="0.35">
      <c r="A5" s="389"/>
      <c r="B5" s="389"/>
      <c r="C5" s="389"/>
      <c r="D5" s="389"/>
      <c r="E5" s="12" t="s">
        <v>41</v>
      </c>
      <c r="F5" s="24">
        <f>20%/2</f>
        <v>0.1</v>
      </c>
      <c r="G5" s="40" t="s">
        <v>42</v>
      </c>
      <c r="H5" s="23" t="s">
        <v>43</v>
      </c>
      <c r="I5" s="43">
        <v>0.2</v>
      </c>
      <c r="J5" s="48">
        <f>I5*$F$5</f>
        <v>2.0000000000000004E-2</v>
      </c>
      <c r="K5" s="45" t="s">
        <v>509</v>
      </c>
      <c r="L5" s="43">
        <v>0.5</v>
      </c>
      <c r="M5" s="48">
        <f>L5*$F$5</f>
        <v>0.05</v>
      </c>
      <c r="N5" s="43">
        <v>0.8</v>
      </c>
      <c r="O5" s="48">
        <f>N5*$F$5</f>
        <v>8.0000000000000016E-2</v>
      </c>
      <c r="P5" s="48">
        <f>AVERAGE(M5,O5)</f>
        <v>6.5000000000000002E-2</v>
      </c>
      <c r="Q5" s="45" t="s">
        <v>510</v>
      </c>
      <c r="R5" s="43">
        <v>0.65</v>
      </c>
      <c r="S5" s="48">
        <f>R5*$F$5</f>
        <v>6.5000000000000002E-2</v>
      </c>
      <c r="T5" s="43">
        <v>0.65</v>
      </c>
      <c r="U5" s="48">
        <f>T5*$F$5</f>
        <v>6.5000000000000002E-2</v>
      </c>
      <c r="V5" s="165">
        <f>AVERAGE(S5,U5)</f>
        <v>6.5000000000000002E-2</v>
      </c>
      <c r="W5" s="278" t="s">
        <v>511</v>
      </c>
      <c r="X5" s="221">
        <v>0.65</v>
      </c>
      <c r="Y5" s="200">
        <f>X5*$F$5</f>
        <v>6.5000000000000002E-2</v>
      </c>
      <c r="Z5" s="211">
        <v>0.65</v>
      </c>
      <c r="AA5" s="200">
        <f>Z5*$F$5</f>
        <v>6.5000000000000002E-2</v>
      </c>
      <c r="AB5" s="223">
        <f>AVERAGE(Y5,AA5)</f>
        <v>6.5000000000000002E-2</v>
      </c>
      <c r="AC5" s="278" t="s">
        <v>512</v>
      </c>
      <c r="AD5" s="12" t="s">
        <v>38</v>
      </c>
    </row>
    <row r="6" spans="1:30" ht="58.2" customHeight="1" thickTop="1" thickBot="1" x14ac:dyDescent="0.35">
      <c r="A6" s="451" t="s">
        <v>55</v>
      </c>
      <c r="B6" s="428">
        <v>0.25</v>
      </c>
      <c r="C6" s="30" t="s">
        <v>60</v>
      </c>
      <c r="D6" s="20">
        <v>0.2</v>
      </c>
      <c r="E6" s="10" t="s">
        <v>61</v>
      </c>
      <c r="F6" s="20">
        <v>0.2</v>
      </c>
      <c r="G6" s="32" t="s">
        <v>62</v>
      </c>
      <c r="H6" s="19" t="s">
        <v>43</v>
      </c>
      <c r="I6" s="43">
        <v>1</v>
      </c>
      <c r="J6" s="48">
        <f>I6*$F$6</f>
        <v>0.2</v>
      </c>
      <c r="K6" s="45" t="s">
        <v>513</v>
      </c>
      <c r="L6" s="43">
        <v>1</v>
      </c>
      <c r="M6" s="48">
        <f>L6*$F$6</f>
        <v>0.2</v>
      </c>
      <c r="N6" s="43">
        <v>1</v>
      </c>
      <c r="O6" s="48">
        <f>N6*$F$6</f>
        <v>0.2</v>
      </c>
      <c r="P6" s="48">
        <f>AVERAGE(M6,O6)</f>
        <v>0.2</v>
      </c>
      <c r="Q6" s="71" t="s">
        <v>180</v>
      </c>
      <c r="R6" s="43">
        <v>1</v>
      </c>
      <c r="S6" s="48">
        <f>R6*$F$6</f>
        <v>0.2</v>
      </c>
      <c r="T6" s="43">
        <v>1</v>
      </c>
      <c r="U6" s="48">
        <f>T6*$F$6</f>
        <v>0.2</v>
      </c>
      <c r="V6" s="165">
        <f>AVERAGE(S6,U6)</f>
        <v>0.2</v>
      </c>
      <c r="W6" s="289" t="s">
        <v>65</v>
      </c>
      <c r="X6" s="217">
        <v>1</v>
      </c>
      <c r="Y6" s="216">
        <f>X6*$F$6</f>
        <v>0.2</v>
      </c>
      <c r="Z6" s="217">
        <v>1</v>
      </c>
      <c r="AA6" s="161">
        <f>Z6*$F$6</f>
        <v>0.2</v>
      </c>
      <c r="AB6" s="161">
        <f>AVERAGE(Y6,AA6)</f>
        <v>0.2</v>
      </c>
      <c r="AC6" s="289" t="s">
        <v>66</v>
      </c>
      <c r="AD6" s="10" t="s">
        <v>38</v>
      </c>
    </row>
    <row r="7" spans="1:30" ht="140.25" customHeight="1" thickTop="1" thickBot="1" x14ac:dyDescent="0.35">
      <c r="A7" s="389"/>
      <c r="B7" s="389"/>
      <c r="C7" s="31" t="s">
        <v>67</v>
      </c>
      <c r="D7" s="17">
        <v>0.05</v>
      </c>
      <c r="E7" s="18" t="s">
        <v>68</v>
      </c>
      <c r="F7" s="17">
        <v>0.05</v>
      </c>
      <c r="G7" s="35" t="s">
        <v>69</v>
      </c>
      <c r="H7" s="4" t="s">
        <v>43</v>
      </c>
      <c r="I7" s="43">
        <v>0.7</v>
      </c>
      <c r="J7" s="48">
        <f>I7*$F$7</f>
        <v>3.4999999999999996E-2</v>
      </c>
      <c r="K7" s="47" t="s">
        <v>514</v>
      </c>
      <c r="L7" s="43">
        <v>0.7</v>
      </c>
      <c r="M7" s="48">
        <f>L7*$F$7</f>
        <v>3.4999999999999996E-2</v>
      </c>
      <c r="N7" s="43">
        <v>0.7</v>
      </c>
      <c r="O7" s="48">
        <f>N7*$F$7</f>
        <v>3.4999999999999996E-2</v>
      </c>
      <c r="P7" s="48">
        <f>AVERAGE(M7,O7)</f>
        <v>3.4999999999999996E-2</v>
      </c>
      <c r="Q7" s="273" t="s">
        <v>515</v>
      </c>
      <c r="R7" s="43">
        <v>1</v>
      </c>
      <c r="S7" s="48">
        <f>R7*$F$7</f>
        <v>0.05</v>
      </c>
      <c r="T7" s="43">
        <v>1</v>
      </c>
      <c r="U7" s="48">
        <f>T7*$F$7</f>
        <v>0.05</v>
      </c>
      <c r="V7" s="165">
        <f>AVERAGE(S7,U7)</f>
        <v>0.05</v>
      </c>
      <c r="W7" s="284" t="s">
        <v>516</v>
      </c>
      <c r="X7" s="300">
        <v>1</v>
      </c>
      <c r="Y7" s="147">
        <f>R7*$F$7</f>
        <v>0.05</v>
      </c>
      <c r="Z7" s="300">
        <v>1</v>
      </c>
      <c r="AA7" s="161">
        <f>R7*$F$7</f>
        <v>0.05</v>
      </c>
      <c r="AB7" s="161">
        <f>AVERAGE(Y7,AA7)</f>
        <v>0.05</v>
      </c>
      <c r="AC7" s="266" t="s">
        <v>516</v>
      </c>
      <c r="AD7" s="18" t="s">
        <v>38</v>
      </c>
    </row>
    <row r="8" spans="1:30" ht="110.25" customHeight="1" thickTop="1" x14ac:dyDescent="0.3">
      <c r="A8" s="422" t="s">
        <v>74</v>
      </c>
      <c r="B8" s="414">
        <v>0.25</v>
      </c>
      <c r="C8" s="390" t="s">
        <v>75</v>
      </c>
      <c r="D8" s="416">
        <f>B8</f>
        <v>0.25</v>
      </c>
      <c r="E8" s="14" t="s">
        <v>76</v>
      </c>
      <c r="F8" s="16">
        <f>D8*0.8</f>
        <v>0.2</v>
      </c>
      <c r="G8" s="36" t="s">
        <v>77</v>
      </c>
      <c r="H8" s="13" t="s">
        <v>43</v>
      </c>
      <c r="I8" s="43">
        <v>0</v>
      </c>
      <c r="J8" s="48">
        <f>I8*$F$8</f>
        <v>0</v>
      </c>
      <c r="K8" s="47" t="s">
        <v>517</v>
      </c>
      <c r="L8" s="43">
        <v>0</v>
      </c>
      <c r="M8" s="48">
        <f>L8*$F$8</f>
        <v>0</v>
      </c>
      <c r="N8" s="43">
        <v>1</v>
      </c>
      <c r="O8" s="48">
        <f>N8*$F$8</f>
        <v>0.2</v>
      </c>
      <c r="P8" s="48">
        <f>AVERAGE(M8,O8)</f>
        <v>0.1</v>
      </c>
      <c r="Q8" s="426" t="s">
        <v>518</v>
      </c>
      <c r="R8" s="545">
        <v>1</v>
      </c>
      <c r="S8" s="546"/>
      <c r="T8" s="546"/>
      <c r="U8" s="546"/>
      <c r="V8" s="165">
        <f>R8*F8</f>
        <v>0.2</v>
      </c>
      <c r="W8" s="466" t="s">
        <v>519</v>
      </c>
      <c r="X8" s="540">
        <v>0.66669999999999996</v>
      </c>
      <c r="Y8" s="374"/>
      <c r="Z8" s="374"/>
      <c r="AA8" s="375"/>
      <c r="AB8" s="161">
        <f>X8*F8</f>
        <v>0.13333999999999999</v>
      </c>
      <c r="AC8" s="541" t="s">
        <v>520</v>
      </c>
      <c r="AD8" s="14" t="s">
        <v>82</v>
      </c>
    </row>
    <row r="9" spans="1:30" ht="166.5" customHeight="1" thickBot="1" x14ac:dyDescent="0.35">
      <c r="A9" s="389"/>
      <c r="B9" s="389"/>
      <c r="C9" s="389"/>
      <c r="D9" s="389"/>
      <c r="E9" s="12" t="s">
        <v>83</v>
      </c>
      <c r="F9" s="15">
        <f>D8*0.2</f>
        <v>0.05</v>
      </c>
      <c r="G9" s="34" t="s">
        <v>84</v>
      </c>
      <c r="H9" s="11" t="s">
        <v>43</v>
      </c>
      <c r="I9" s="43">
        <v>0</v>
      </c>
      <c r="J9" s="48">
        <f>I9*$F$9</f>
        <v>0</v>
      </c>
      <c r="K9" s="47" t="s">
        <v>521</v>
      </c>
      <c r="L9" s="43">
        <v>0</v>
      </c>
      <c r="M9" s="48">
        <f>L9*$F$9</f>
        <v>0</v>
      </c>
      <c r="N9" s="43">
        <v>1</v>
      </c>
      <c r="O9" s="48">
        <f>N9*$F$9</f>
        <v>0.05</v>
      </c>
      <c r="P9" s="48">
        <f>AVERAGE(M9,O9)</f>
        <v>2.5000000000000001E-2</v>
      </c>
      <c r="Q9" s="332"/>
      <c r="R9" s="542">
        <v>1</v>
      </c>
      <c r="S9" s="463"/>
      <c r="T9" s="463"/>
      <c r="U9" s="543"/>
      <c r="V9" s="165">
        <f>R9*F9</f>
        <v>0.05</v>
      </c>
      <c r="W9" s="404"/>
      <c r="X9" s="544">
        <v>0</v>
      </c>
      <c r="Y9" s="463"/>
      <c r="Z9" s="463"/>
      <c r="AA9" s="543"/>
      <c r="AB9" s="161">
        <f>X9*F9</f>
        <v>0</v>
      </c>
      <c r="AC9" s="404"/>
      <c r="AD9" s="12" t="s">
        <v>82</v>
      </c>
    </row>
    <row r="10" spans="1:30" ht="66" customHeight="1" thickTop="1" thickBot="1" x14ac:dyDescent="0.35">
      <c r="A10" s="422" t="s">
        <v>86</v>
      </c>
      <c r="B10" s="414">
        <v>0.3</v>
      </c>
      <c r="C10" s="390" t="s">
        <v>87</v>
      </c>
      <c r="D10" s="416">
        <f>$B$10/2</f>
        <v>0.15</v>
      </c>
      <c r="E10" s="393" t="s">
        <v>88</v>
      </c>
      <c r="F10" s="416">
        <f>$B$10/2</f>
        <v>0.15</v>
      </c>
      <c r="G10" s="139" t="s">
        <v>89</v>
      </c>
      <c r="H10" s="13">
        <v>1</v>
      </c>
      <c r="I10" s="359">
        <v>0</v>
      </c>
      <c r="J10" s="368">
        <f>I10*$F$10</f>
        <v>0</v>
      </c>
      <c r="K10" s="412" t="s">
        <v>522</v>
      </c>
      <c r="L10" s="359">
        <v>1</v>
      </c>
      <c r="M10" s="346"/>
      <c r="N10" s="346"/>
      <c r="O10" s="396"/>
      <c r="P10" s="368">
        <f>L10*$F10</f>
        <v>0.15</v>
      </c>
      <c r="Q10" s="412" t="s">
        <v>91</v>
      </c>
      <c r="R10" s="539">
        <v>1</v>
      </c>
      <c r="S10" s="346"/>
      <c r="T10" s="346"/>
      <c r="U10" s="396"/>
      <c r="V10" s="386">
        <f>R10*$F10</f>
        <v>0.15</v>
      </c>
      <c r="W10" s="399" t="s">
        <v>92</v>
      </c>
      <c r="X10" s="366">
        <v>1</v>
      </c>
      <c r="Y10" s="346"/>
      <c r="Z10" s="346"/>
      <c r="AA10" s="396"/>
      <c r="AB10" s="386">
        <f>X10*F10</f>
        <v>0.15</v>
      </c>
      <c r="AC10" s="399" t="s">
        <v>92</v>
      </c>
      <c r="AD10" s="393" t="s">
        <v>93</v>
      </c>
    </row>
    <row r="11" spans="1:30" ht="66" customHeight="1" thickTop="1" thickBot="1" x14ac:dyDescent="0.35">
      <c r="A11" s="388"/>
      <c r="B11" s="341"/>
      <c r="C11" s="389"/>
      <c r="D11" s="389"/>
      <c r="E11" s="389"/>
      <c r="F11" s="389"/>
      <c r="G11" s="39" t="s">
        <v>94</v>
      </c>
      <c r="H11" s="11">
        <v>0</v>
      </c>
      <c r="I11" s="332"/>
      <c r="J11" s="332"/>
      <c r="K11" s="332"/>
      <c r="L11" s="334"/>
      <c r="M11" s="353"/>
      <c r="N11" s="353"/>
      <c r="O11" s="354"/>
      <c r="P11" s="332"/>
      <c r="Q11" s="332"/>
      <c r="R11" s="334"/>
      <c r="S11" s="353"/>
      <c r="T11" s="353"/>
      <c r="U11" s="354"/>
      <c r="V11" s="334"/>
      <c r="W11" s="362"/>
      <c r="X11" s="353"/>
      <c r="Y11" s="353"/>
      <c r="Z11" s="353"/>
      <c r="AA11" s="354"/>
      <c r="AB11" s="334"/>
      <c r="AC11" s="362"/>
      <c r="AD11" s="389"/>
    </row>
    <row r="12" spans="1:30" ht="82.2" customHeight="1" thickTop="1" thickBot="1" x14ac:dyDescent="0.35">
      <c r="A12" s="389"/>
      <c r="B12" s="389"/>
      <c r="C12" s="37" t="s">
        <v>95</v>
      </c>
      <c r="D12" s="8">
        <v>0.15</v>
      </c>
      <c r="E12" s="9" t="s">
        <v>96</v>
      </c>
      <c r="F12" s="8">
        <v>0.15</v>
      </c>
      <c r="G12" s="32" t="s">
        <v>97</v>
      </c>
      <c r="H12" s="8">
        <v>1</v>
      </c>
      <c r="I12" s="43">
        <v>0</v>
      </c>
      <c r="J12" s="48">
        <f>I12*$F$12</f>
        <v>0</v>
      </c>
      <c r="K12" s="47" t="s">
        <v>523</v>
      </c>
      <c r="L12" s="359">
        <v>0.29880000000000001</v>
      </c>
      <c r="M12" s="364"/>
      <c r="N12" s="364"/>
      <c r="O12" s="365"/>
      <c r="P12" s="48">
        <f>L12*$F12</f>
        <v>4.4819999999999999E-2</v>
      </c>
      <c r="Q12" s="47" t="s">
        <v>524</v>
      </c>
      <c r="R12" s="539">
        <v>0.4</v>
      </c>
      <c r="S12" s="364"/>
      <c r="T12" s="364"/>
      <c r="U12" s="365"/>
      <c r="V12" s="165">
        <f>R12*$F12</f>
        <v>0.06</v>
      </c>
      <c r="W12" s="242" t="s">
        <v>525</v>
      </c>
      <c r="X12" s="366">
        <v>0.6</v>
      </c>
      <c r="Y12" s="364"/>
      <c r="Z12" s="364"/>
      <c r="AA12" s="365"/>
      <c r="AB12" s="165">
        <f>X12*F12</f>
        <v>0.09</v>
      </c>
      <c r="AC12" s="237" t="s">
        <v>526</v>
      </c>
      <c r="AD12" s="10" t="s">
        <v>93</v>
      </c>
    </row>
    <row r="13" spans="1:30" ht="26.7" customHeight="1" thickTop="1" x14ac:dyDescent="0.3">
      <c r="I13" s="7" t="s">
        <v>102</v>
      </c>
      <c r="J13" s="6">
        <f>SUM(J2:J12)</f>
        <v>0.30499999999999999</v>
      </c>
      <c r="O13" s="7" t="s">
        <v>102</v>
      </c>
      <c r="P13" s="6">
        <f>SUM(P2:P12)</f>
        <v>0.66981999999999997</v>
      </c>
      <c r="U13" s="7" t="s">
        <v>102</v>
      </c>
      <c r="V13" s="6">
        <f>SUM(V2:V12)</f>
        <v>0.82499999999999996</v>
      </c>
      <c r="W13" s="140"/>
      <c r="X13" s="224"/>
      <c r="Y13" s="225"/>
      <c r="Z13" s="224"/>
      <c r="AA13" s="7" t="s">
        <v>102</v>
      </c>
      <c r="AB13" s="6">
        <f>SUM(AB2:AB12)</f>
        <v>0.73834</v>
      </c>
      <c r="AC13" s="265"/>
    </row>
  </sheetData>
  <mergeCells count="63">
    <mergeCell ref="AD10:AD11"/>
    <mergeCell ref="T2:T4"/>
    <mergeCell ref="Q8:Q9"/>
    <mergeCell ref="V10:V11"/>
    <mergeCell ref="AC10:AC11"/>
    <mergeCell ref="AB10:AB11"/>
    <mergeCell ref="AD2:AD4"/>
    <mergeCell ref="AC8:AC9"/>
    <mergeCell ref="B8:B9"/>
    <mergeCell ref="W2:W4"/>
    <mergeCell ref="O2:O4"/>
    <mergeCell ref="R9:U9"/>
    <mergeCell ref="X9:AA9"/>
    <mergeCell ref="R8:U8"/>
    <mergeCell ref="AC2:AC4"/>
    <mergeCell ref="F2:F4"/>
    <mergeCell ref="Y2:Y4"/>
    <mergeCell ref="N2:N4"/>
    <mergeCell ref="Z2:Z4"/>
    <mergeCell ref="AB2:AB4"/>
    <mergeCell ref="E2:E4"/>
    <mergeCell ref="A6:A7"/>
    <mergeCell ref="Q2:Q4"/>
    <mergeCell ref="E10:E11"/>
    <mergeCell ref="B2:B5"/>
    <mergeCell ref="D2:D5"/>
    <mergeCell ref="Q10:Q11"/>
    <mergeCell ref="A10:A12"/>
    <mergeCell ref="B6:B7"/>
    <mergeCell ref="I2:I4"/>
    <mergeCell ref="A8:A9"/>
    <mergeCell ref="C8:C9"/>
    <mergeCell ref="A2:A5"/>
    <mergeCell ref="C2:C5"/>
    <mergeCell ref="D8:D9"/>
    <mergeCell ref="I10:I11"/>
    <mergeCell ref="K2:K4"/>
    <mergeCell ref="X12:AA12"/>
    <mergeCell ref="J2:J4"/>
    <mergeCell ref="AA2:AA4"/>
    <mergeCell ref="V2:V4"/>
    <mergeCell ref="L2:L4"/>
    <mergeCell ref="R2:R4"/>
    <mergeCell ref="X2:X4"/>
    <mergeCell ref="L10:O11"/>
    <mergeCell ref="U2:U4"/>
    <mergeCell ref="X8:AA8"/>
    <mergeCell ref="X10:AA11"/>
    <mergeCell ref="W8:W9"/>
    <mergeCell ref="L12:O12"/>
    <mergeCell ref="M2:M4"/>
    <mergeCell ref="S2:S4"/>
    <mergeCell ref="P2:P4"/>
    <mergeCell ref="K10:K11"/>
    <mergeCell ref="W10:W11"/>
    <mergeCell ref="D10:D11"/>
    <mergeCell ref="B10:B12"/>
    <mergeCell ref="R12:U12"/>
    <mergeCell ref="F10:F11"/>
    <mergeCell ref="J10:J11"/>
    <mergeCell ref="C10:C11"/>
    <mergeCell ref="P10:P11"/>
    <mergeCell ref="R10:U11"/>
  </mergeCells>
  <printOptions horizontalCentered="1"/>
  <pageMargins left="0.23622047244094491" right="0.23622047244094491" top="0.74803149606299213" bottom="0.74803149606299213" header="0.31496062992125978" footer="0.31496062992125978"/>
  <pageSetup scale="46" fitToHeight="0"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15</vt:i4>
      </vt:variant>
    </vt:vector>
  </HeadingPairs>
  <TitlesOfParts>
    <vt:vector size="15" baseType="lpstr">
      <vt:lpstr>categorias</vt:lpstr>
      <vt:lpstr>Salud</vt:lpstr>
      <vt:lpstr>Interior</vt:lpstr>
      <vt:lpstr>Infraestructura</vt:lpstr>
      <vt:lpstr>Inclusión Social </vt:lpstr>
      <vt:lpstr>Educación</vt:lpstr>
      <vt:lpstr>Aguas de Sucre</vt:lpstr>
      <vt:lpstr>Desarrollo Económico</vt:lpstr>
      <vt:lpstr>Energía</vt:lpstr>
      <vt:lpstr>Indersucre</vt:lpstr>
      <vt:lpstr>Fondo Mixto</vt:lpstr>
      <vt:lpstr>Bellas Artes</vt:lpstr>
      <vt:lpstr>Oficina TIC</vt:lpstr>
      <vt:lpstr>Unidad del Riesgo</vt:lpstr>
      <vt:lpstr>Tránsito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 Monterroza Castillo</dc:creator>
  <cp:lastModifiedBy>Indicadores</cp:lastModifiedBy>
  <cp:lastPrinted>2026-03-10T14:40:03Z</cp:lastPrinted>
  <dcterms:created xsi:type="dcterms:W3CDTF">2025-07-17T13:47:55Z</dcterms:created>
  <dcterms:modified xsi:type="dcterms:W3CDTF">2026-06-24T15:18:55Z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0x010100A01762B0BE6F124C893C4EBC44405419</vt:lpwstr>
  </property>
  <property fmtid="{D5CDD505-2E9C-101B-9397-08002B2CF9AE}" pid="3" name="MediaServiceImageTags">
    <vt:lpwstr/>
  </property>
</Properties>
</file>